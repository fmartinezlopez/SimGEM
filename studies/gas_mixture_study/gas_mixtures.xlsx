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ixtures" sheetId="2" state="visible" r:id="rId2"/>
    <sheet name="Criteria" sheetId="3" state="visible" r:id="rId3"/>
    <sheet name="Components" sheetId="4" state="visible" r:id="rId4"/>
    <sheet name="Run grid" sheetId="5" state="visible" r:id="rId5"/>
    <sheet name="Impurities" sheetId="6" state="visible" r:id="rId6"/>
    <sheet name="Outputs" sheetId="7" state="visible" r:id="rId7"/>
    <sheet name="Validation" sheetId="8" state="visible" r:id="rId8"/>
  </sheets>
  <definedNames>
    <definedName name="_xlnm._FilterDatabase" localSheetId="1" hidden="1">'Mixtures'!$A$1:$W$76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2" fontId="3" fillId="0" borderId="1" applyAlignment="1" pivotButton="0" quotePrefix="0" xfId="0">
      <alignment vertical="top" wrapText="1"/>
    </xf>
    <xf numFmtId="166" fontId="3" fillId="0" borderId="1" applyAlignment="1" pivotButton="0" quotePrefix="0" xfId="0">
      <alignment vertical="top" wrapText="1"/>
    </xf>
    <xf numFmtId="1" fontId="3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5" fontId="3" fillId="0" borderId="0" pivotButton="0" quotePrefix="0" xfId="0"/>
    <xf numFmtId="0" fontId="3" fillId="0" borderId="0" pivotButton="0" quotePrefix="0" xfId="0"/>
    <xf numFmtId="1" fontId="5" fillId="0" borderId="0" pivotButton="0" quotePrefix="0" xfId="0"/>
    <xf numFmtId="2" fontId="5" fillId="0" borderId="0" pivotButton="0" quotePrefix="0" xfId="0"/>
    <xf numFmtId="1" fontId="3" fillId="0" borderId="0" pivotButton="0" quotePrefix="0" xfId="0"/>
    <xf numFmtId="1" fontId="5" fillId="3" borderId="0" pivotButton="0" quotePrefix="0" xfId="0"/>
    <xf numFmtId="2" fontId="5" fillId="3" borderId="0" pivotButton="0" quotePrefix="0" xfId="0"/>
    <xf numFmtId="9" fontId="5" fillId="0" borderId="0" pivotButton="0" quotePrefix="0" xfId="0"/>
    <xf numFmtId="0" fontId="5" fillId="0" borderId="0" pivotButton="0" quotePrefix="0" xfId="0"/>
    <xf numFmtId="164" fontId="5" fillId="0" borderId="1" applyAlignment="1" pivotButton="0" quotePrefix="0" xfId="0">
      <alignment vertical="top" wrapText="1"/>
    </xf>
    <xf numFmtId="2" fontId="5" fillId="0" borderId="1" applyAlignment="1" pivotButton="0" quotePrefix="0" xfId="0">
      <alignment vertical="top" wrapText="1"/>
    </xf>
    <xf numFmtId="0" fontId="5" fillId="3" borderId="0" pivotButton="0" quotePrefix="0" xfId="0"/>
    <xf numFmtId="2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SimGEM</author>
  </authors>
  <commentList>
    <comment ref="M1" authorId="0" shapeId="0">
      <text>
        <t>Mass fraction of Ar in the gas: the fraction of target nuclei mass that is argon.</t>
      </text>
    </comment>
    <comment ref="O1" authorId="0" shapeId="0">
      <text>
        <t>Ar excitations that can Penning-ionise the lowest-IP component (Garfield applies r only to these).</t>
      </text>
    </comment>
    <comment ref="P1" authorId="0" shapeId="0">
      <text>
        <t>Sum of the flammable components; compare with their LEL and do an ISO 10156 assessment for the mixture.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Gas-mixture study: mixtures for an Ar-rich (&gt;= 90 %) TPC at up to 10 bar</t>
        </is>
      </c>
    </row>
    <row r="3">
      <c r="A3" s="2" t="inlineStr">
        <is>
          <t>Purpose</t>
        </is>
      </c>
      <c r="B3" s="3" t="inlineStr">
        <is>
          <t>Magboltz transport and Townsend properties for every candidate mixture at 1-10 bar, to choose the 4-6 mixtures for the single-GEM simulations. Plan: PLAN.md.</t>
        </is>
      </c>
    </row>
    <row r="4">
      <c r="A4" s="2" t="inlineStr">
        <is>
          <t>Constraints</t>
        </is>
      </c>
      <c r="B4" s="3" t="inlineStr">
        <is>
          <t>Ar &gt;= 90 % by volume; only nuclei lighter than Ar; drift (diffusion, velocity, attachment, electron lifetime) acceptable for a long-drift TPC; gain reachable with GEMs at 10 bar.</t>
        </is>
      </c>
    </row>
    <row r="5">
      <c r="A5" s="2" t="inlineStr">
        <is>
          <t>Mixtures</t>
        </is>
      </c>
      <c r="B5" s="3" t="inlineStr">
        <is>
          <t>One row per mixture. Volume fractions in %, Ar = 100 - the rest. Priority sets the pressures run (Run grid). Grey columns are formulas.</t>
        </is>
      </c>
    </row>
    <row r="6">
      <c r="A6" s="2" t="inlineStr">
        <is>
          <t>Components</t>
        </is>
      </c>
      <c r="B6" s="3" t="inlineStr">
        <is>
          <t>Properties used by the formulas (molar mass, ionisation energy, LEL), with sources.</t>
        </is>
      </c>
    </row>
    <row r="7">
      <c r="A7" s="2" t="inlineStr">
        <is>
          <t>Criteria</t>
        </is>
      </c>
      <c r="B7" s="3" t="inlineStr">
        <is>
          <t>Detector requirements (drift length, drift field, gain) and the per-foil gain targets derived from them.</t>
        </is>
      </c>
    </row>
    <row r="8">
      <c r="A8" s="2" t="inlineStr">
        <is>
          <t>Run grid</t>
        </is>
      </c>
      <c r="B8" s="3" t="inlineStr">
        <is>
          <t>Pressures, field grids, Penning r grid and the compute budget. Blue cells are inputs.</t>
        </is>
      </c>
    </row>
    <row r="9">
      <c r="A9" s="2" t="inlineStr">
        <is>
          <t>Impurities</t>
        </is>
      </c>
      <c r="B9" s="3" t="inlineStr">
        <is>
          <t>Electron-lifetime runs: O2 / H2O admixtures to selected base mixtures (drift fields only).</t>
        </is>
      </c>
    </row>
    <row r="10">
      <c r="A10" s="2" t="inlineStr">
        <is>
          <t>Outputs</t>
        </is>
      </c>
      <c r="B10" s="3" t="inlineStr">
        <is>
          <t>What is extracted per mixture and pressure, and the figure of merit it feeds.</t>
        </is>
      </c>
    </row>
    <row r="11">
      <c r="A11" s="2" t="inlineStr">
        <is>
          <t>Validation</t>
        </is>
      </c>
      <c r="B11" s="3" t="inlineStr">
        <is>
          <t>Measured data to check Magboltz + Garfield against before trusting the sweep.</t>
        </is>
      </c>
    </row>
    <row r="12">
      <c r="A12" s="2" t="inlineStr">
        <is>
          <t>Legend</t>
        </is>
      </c>
      <c r="B12" s="3" t="inlineStr">
        <is>
          <t>Blue text: input, edit freely. Black: formula. Yellow fill: key assumption to revisit. Priority fill: green A (first, all pressures), yellow B (1, 4, 10 bar), grey C (1, 10 bar).</t>
        </is>
      </c>
    </row>
    <row r="13">
      <c r="A13" s="2" t="inlineStr">
        <is>
          <t>Regenerate</t>
        </is>
      </c>
      <c r="B13" s="3" t="inlineStr">
        <is>
          <t>python studies/gas_mixture_study/build_mixtures.py (also writes mixtures.csv for the driver).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7" customWidth="1" min="2" max="2"/>
    <col width="8" customWidth="1" min="3" max="3"/>
    <col width="26" customWidth="1" min="4" max="4"/>
    <col width="8" customWidth="1" min="5" max="5"/>
    <col width="7" customWidth="1" min="6" max="6"/>
    <col width="8" customWidth="1" min="7" max="7"/>
    <col width="7" customWidth="1" min="8" max="8"/>
    <col width="8" customWidth="1" min="9" max="9"/>
    <col width="7" customWidth="1" min="10" max="10"/>
    <col width="8" customWidth="1" min="11" max="11"/>
    <col width="10" customWidth="1" min="12" max="12"/>
    <col width="9" customWidth="1" min="13" max="13"/>
    <col width="9" customWidth="1" min="14" max="14"/>
    <col width="22" customWidth="1" min="15" max="15"/>
    <col width="10" customWidth="1" min="16" max="16"/>
    <col width="11" customWidth="1" min="17" max="17"/>
    <col width="30" customWidth="1" min="18" max="18"/>
    <col width="9" customWidth="1" min="19" max="19"/>
    <col width="8" customWidth="1" min="20" max="20"/>
    <col width="46" customWidth="1" min="21" max="21"/>
    <col width="38" customWidth="1" min="22" max="22"/>
    <col width="30" customWidth="1" min="23" max="23"/>
  </cols>
  <sheetData>
    <row r="1">
      <c r="A1" s="4" t="inlineStr">
        <is>
          <t>ID</t>
        </is>
      </c>
      <c r="B1" s="4" t="inlineStr">
        <is>
          <t>Family</t>
        </is>
      </c>
      <c r="C1" s="4" t="inlineStr">
        <is>
          <t>Priority</t>
        </is>
      </c>
      <c r="D1" s="4" t="inlineStr">
        <is>
          <t>Mixture (vol %)</t>
        </is>
      </c>
      <c r="E1" s="4" t="inlineStr">
        <is>
          <t>Comp 2</t>
        </is>
      </c>
      <c r="F1" s="4" t="inlineStr">
        <is>
          <t>x2 (%)</t>
        </is>
      </c>
      <c r="G1" s="4" t="inlineStr">
        <is>
          <t>Comp 3</t>
        </is>
      </c>
      <c r="H1" s="4" t="inlineStr">
        <is>
          <t>x3 (%)</t>
        </is>
      </c>
      <c r="I1" s="4" t="inlineStr">
        <is>
          <t>Comp 4</t>
        </is>
      </c>
      <c r="J1" s="4" t="inlineStr">
        <is>
          <t>x4 (%)</t>
        </is>
      </c>
      <c r="K1" s="4" t="inlineStr">
        <is>
          <t>Ar (vol %)</t>
        </is>
      </c>
      <c r="L1" s="4" t="inlineStr">
        <is>
          <t>Mean molar mass (g/mol)</t>
        </is>
      </c>
      <c r="M1" s="4" t="inlineStr">
        <is>
          <t>Ar mass fraction</t>
        </is>
      </c>
      <c r="N1" s="4" t="inlineStr">
        <is>
          <t>Lowest IP (eV)</t>
        </is>
      </c>
      <c r="O1" s="4" t="inlineStr">
        <is>
          <t>Ar levels eligible for Penning</t>
        </is>
      </c>
      <c r="P1" s="4" t="inlineStr">
        <is>
          <t>Flammable content (vol %)</t>
        </is>
      </c>
      <c r="Q1" s="4" t="inlineStr">
        <is>
          <t>Non-Ar nuclei</t>
        </is>
      </c>
      <c r="R1" s="4" t="inlineStr">
        <is>
          <t>Penning r in Garfield</t>
        </is>
      </c>
      <c r="S1" s="4" t="inlineStr">
        <is>
          <t>Pressures run</t>
        </is>
      </c>
      <c r="T1" s="4" t="inlineStr">
        <is>
          <t>CPU h (tables)</t>
        </is>
      </c>
      <c r="U1" s="4" t="inlineStr">
        <is>
          <t>Rationale</t>
        </is>
      </c>
      <c r="V1" s="4" t="inlineStr">
        <is>
          <t>Risks / remarks</t>
        </is>
      </c>
      <c r="W1" s="4" t="inlineStr">
        <is>
          <t>Validation data</t>
        </is>
      </c>
    </row>
    <row r="2">
      <c r="A2" s="5" t="inlineStr">
        <is>
          <t>R01</t>
        </is>
      </c>
      <c r="B2" s="5" t="inlineStr">
        <is>
          <t>Reference</t>
        </is>
      </c>
      <c r="C2" s="6" t="inlineStr">
        <is>
          <t>C</t>
        </is>
      </c>
      <c r="D2" s="5" t="inlineStr">
        <is>
          <t>Ar 100</t>
        </is>
      </c>
      <c r="E2" s="7" t="n"/>
      <c r="F2" s="8" t="n"/>
      <c r="G2" s="7" t="n"/>
      <c r="H2" s="8" t="n"/>
      <c r="I2" s="7" t="n"/>
      <c r="J2" s="8" t="n"/>
      <c r="K2" s="9">
        <f>100-F2-H2-J2</f>
        <v/>
      </c>
      <c r="L2" s="10">
        <f>(K2*INDEX(Components!$D$2:$D$17,MATCH("ar",Components!$A$2:$A$17,0))+IF(E2="",0,F2*INDEX(Components!$D$2:$D$17,MATCH(E2,Components!$A$2:$A$17,0)))+IF(G2="",0,H2*INDEX(Components!$D$2:$D$17,MATCH(G2,Components!$A$2:$A$17,0)))+IF(I2="",0,J2*INDEX(Components!$D$2:$D$17,MATCH(I2,Components!$A$2:$A$17,0))))/100</f>
        <v/>
      </c>
      <c r="M2" s="11">
        <f>K2*INDEX(Components!$D$2:$D$17,MATCH("ar",Components!$A$2:$A$17,0))/(K2*INDEX(Components!$D$2:$D$17,MATCH("ar",Components!$A$2:$A$17,0))+IF(E2="",0,F2*INDEX(Components!$D$2:$D$17,MATCH(E2,Components!$A$2:$A$17,0)))+IF(G2="",0,H2*INDEX(Components!$D$2:$D$17,MATCH(G2,Components!$A$2:$A$17,0)))+IF(I2="",0,J2*INDEX(Components!$D$2:$D$17,MATCH(I2,Components!$A$2:$A$17,0))))</f>
        <v/>
      </c>
      <c r="N2" s="10">
        <f>MIN(15.76,IF(E2="",99,INDEX(Components!$E$2:$E$17,MATCH(E2,Components!$A$2:$A$17,0))),IF(G2="",99,INDEX(Components!$E$2:$E$17,MATCH(G2,Components!$A$2:$A$17,0))),IF(I2="",99,INDEX(Components!$E$2:$E$17,MATCH(I2,Components!$A$2:$A$17,0))))</f>
        <v/>
      </c>
      <c r="O2" s="5">
        <f>IF(N2&lt;11.55,"4s, 4p and higher",IF(N2&lt;12.91,"4p and higher",IF(N2&lt;13.85,"3d/5s and higher",IF(N2&lt;15.76,"high Rydberg only","none"))))</f>
        <v/>
      </c>
      <c r="P2" s="9">
        <f>IF(E2="",0,IF(INDEX(Components!$F$2:$F$17,MATCH(E2,Components!$A$2:$A$17,0))&gt;0,F2,0))+IF(G2="",0,IF(INDEX(Components!$F$2:$F$17,MATCH(G2,Components!$A$2:$A$17,0))&gt;0,H2,0))+IF(I2="",0,IF(INDEX(Components!$F$2:$F$17,MATCH(I2,Components!$A$2:$A$17,0))&gt;0,J2,0))</f>
        <v/>
      </c>
      <c r="Q2" s="5" t="inlineStr">
        <is>
          <t>-</t>
        </is>
      </c>
      <c r="R2" s="5" t="inlineStr">
        <is>
          <t>n/a</t>
        </is>
      </c>
      <c r="S2" s="12">
        <f>IF(C2="A",'Run grid'!$B$4,IF(C2="B",'Run grid'!$B$6,'Run grid'!$B$8))</f>
        <v/>
      </c>
      <c r="T2" s="9">
        <f>S2*'Run grid'!$B$22</f>
        <v/>
      </c>
      <c r="U2" s="5" t="inlineStr">
        <is>
          <t>Pure Ar: baseline for every alpha and drift comparison</t>
        </is>
      </c>
      <c r="V2" s="5" t="inlineStr">
        <is>
          <t>Not operable (no quencher)</t>
        </is>
      </c>
      <c r="W2" s="5" t="inlineStr">
        <is>
          <t>Magboltz validation data</t>
        </is>
      </c>
    </row>
    <row r="3">
      <c r="A3" s="5" t="inlineStr">
        <is>
          <t>R02</t>
        </is>
      </c>
      <c r="B3" s="5" t="inlineStr">
        <is>
          <t>Reference</t>
        </is>
      </c>
      <c r="C3" s="6" t="inlineStr">
        <is>
          <t>C</t>
        </is>
      </c>
      <c r="D3" s="5" t="inlineStr">
        <is>
          <t>Ar:Ne 90:10</t>
        </is>
      </c>
      <c r="E3" s="7" t="inlineStr">
        <is>
          <t>ne</t>
        </is>
      </c>
      <c r="F3" s="8" t="n">
        <v>10</v>
      </c>
      <c r="G3" s="7" t="n"/>
      <c r="H3" s="8" t="n"/>
      <c r="I3" s="7" t="n"/>
      <c r="J3" s="8" t="n"/>
      <c r="K3" s="9">
        <f>100-F3-H3-J3</f>
        <v/>
      </c>
      <c r="L3" s="10">
        <f>(K3*INDEX(Components!$D$2:$D$17,MATCH("ar",Components!$A$2:$A$17,0))+IF(E3="",0,F3*INDEX(Components!$D$2:$D$17,MATCH(E3,Components!$A$2:$A$17,0)))+IF(G3="",0,H3*INDEX(Components!$D$2:$D$17,MATCH(G3,Components!$A$2:$A$17,0)))+IF(I3="",0,J3*INDEX(Components!$D$2:$D$17,MATCH(I3,Components!$A$2:$A$17,0))))/100</f>
        <v/>
      </c>
      <c r="M3" s="11">
        <f>K3*INDEX(Components!$D$2:$D$17,MATCH("ar",Components!$A$2:$A$17,0))/(K3*INDEX(Components!$D$2:$D$17,MATCH("ar",Components!$A$2:$A$17,0))+IF(E3="",0,F3*INDEX(Components!$D$2:$D$17,MATCH(E3,Components!$A$2:$A$17,0)))+IF(G3="",0,H3*INDEX(Components!$D$2:$D$17,MATCH(G3,Components!$A$2:$A$17,0)))+IF(I3="",0,J3*INDEX(Components!$D$2:$D$17,MATCH(I3,Components!$A$2:$A$17,0))))</f>
        <v/>
      </c>
      <c r="N3" s="10">
        <f>MIN(15.76,IF(E3="",99,INDEX(Components!$E$2:$E$17,MATCH(E3,Components!$A$2:$A$17,0))),IF(G3="",99,INDEX(Components!$E$2:$E$17,MATCH(G3,Components!$A$2:$A$17,0))),IF(I3="",99,INDEX(Components!$E$2:$E$17,MATCH(I3,Components!$A$2:$A$17,0))))</f>
        <v/>
      </c>
      <c r="O3" s="5">
        <f>IF(N3&lt;11.55,"4s, 4p and higher",IF(N3&lt;12.91,"4p and higher",IF(N3&lt;13.85,"3d/5s and higher",IF(N3&lt;15.76,"high Rydberg only","none"))))</f>
        <v/>
      </c>
      <c r="P3" s="9">
        <f>IF(E3="",0,IF(INDEX(Components!$F$2:$F$17,MATCH(E3,Components!$A$2:$A$17,0))&gt;0,F3,0))+IF(G3="",0,IF(INDEX(Components!$F$2:$F$17,MATCH(G3,Components!$A$2:$A$17,0))&gt;0,H3,0))+IF(I3="",0,IF(INDEX(Components!$F$2:$F$17,MATCH(I3,Components!$A$2:$A$17,0))&gt;0,J3,0))</f>
        <v/>
      </c>
      <c r="Q3" s="5" t="inlineStr">
        <is>
          <t>Ne</t>
        </is>
      </c>
      <c r="R3" s="5" t="inlineStr">
        <is>
          <t>none: bracket r</t>
        </is>
      </c>
      <c r="S3" s="12">
        <f>IF(C3="A",'Run grid'!$B$4,IF(C3="B",'Run grid'!$B$6,'Run grid'!$B$8))</f>
        <v/>
      </c>
      <c r="T3" s="9">
        <f>S3*'Run grid'!$B$22</f>
        <v/>
      </c>
      <c r="U3" s="5" t="inlineStr">
        <is>
          <t>Ne effect on alpha with no quencher</t>
        </is>
      </c>
      <c r="V3" s="5" t="inlineStr">
        <is>
          <t>Not operable</t>
        </is>
      </c>
      <c r="W3" s="5" t="n"/>
    </row>
    <row r="4">
      <c r="A4" s="5" t="inlineStr">
        <is>
          <t>R03</t>
        </is>
      </c>
      <c r="B4" s="5" t="inlineStr">
        <is>
          <t>Reference</t>
        </is>
      </c>
      <c r="C4" s="6" t="inlineStr">
        <is>
          <t>C</t>
        </is>
      </c>
      <c r="D4" s="5" t="inlineStr">
        <is>
          <t>Ar:He 90:10</t>
        </is>
      </c>
      <c r="E4" s="7" t="inlineStr">
        <is>
          <t>he</t>
        </is>
      </c>
      <c r="F4" s="8" t="n">
        <v>10</v>
      </c>
      <c r="G4" s="7" t="n"/>
      <c r="H4" s="8" t="n"/>
      <c r="I4" s="7" t="n"/>
      <c r="J4" s="8" t="n"/>
      <c r="K4" s="9">
        <f>100-F4-H4-J4</f>
        <v/>
      </c>
      <c r="L4" s="10">
        <f>(K4*INDEX(Components!$D$2:$D$17,MATCH("ar",Components!$A$2:$A$17,0))+IF(E4="",0,F4*INDEX(Components!$D$2:$D$17,MATCH(E4,Components!$A$2:$A$17,0)))+IF(G4="",0,H4*INDEX(Components!$D$2:$D$17,MATCH(G4,Components!$A$2:$A$17,0)))+IF(I4="",0,J4*INDEX(Components!$D$2:$D$17,MATCH(I4,Components!$A$2:$A$17,0))))/100</f>
        <v/>
      </c>
      <c r="M4" s="11">
        <f>K4*INDEX(Components!$D$2:$D$17,MATCH("ar",Components!$A$2:$A$17,0))/(K4*INDEX(Components!$D$2:$D$17,MATCH("ar",Components!$A$2:$A$17,0))+IF(E4="",0,F4*INDEX(Components!$D$2:$D$17,MATCH(E4,Components!$A$2:$A$17,0)))+IF(G4="",0,H4*INDEX(Components!$D$2:$D$17,MATCH(G4,Components!$A$2:$A$17,0)))+IF(I4="",0,J4*INDEX(Components!$D$2:$D$17,MATCH(I4,Components!$A$2:$A$17,0))))</f>
        <v/>
      </c>
      <c r="N4" s="10">
        <f>MIN(15.76,IF(E4="",99,INDEX(Components!$E$2:$E$17,MATCH(E4,Components!$A$2:$A$17,0))),IF(G4="",99,INDEX(Components!$E$2:$E$17,MATCH(G4,Components!$A$2:$A$17,0))),IF(I4="",99,INDEX(Components!$E$2:$E$17,MATCH(I4,Components!$A$2:$A$17,0))))</f>
        <v/>
      </c>
      <c r="O4" s="5">
        <f>IF(N4&lt;11.55,"4s, 4p and higher",IF(N4&lt;12.91,"4p and higher",IF(N4&lt;13.85,"3d/5s and higher",IF(N4&lt;15.76,"high Rydberg only","none"))))</f>
        <v/>
      </c>
      <c r="P4" s="9">
        <f>IF(E4="",0,IF(INDEX(Components!$F$2:$F$17,MATCH(E4,Components!$A$2:$A$17,0))&gt;0,F4,0))+IF(G4="",0,IF(INDEX(Components!$F$2:$F$17,MATCH(G4,Components!$A$2:$A$17,0))&gt;0,H4,0))+IF(I4="",0,IF(INDEX(Components!$F$2:$F$17,MATCH(I4,Components!$A$2:$A$17,0))&gt;0,J4,0))</f>
        <v/>
      </c>
      <c r="Q4" s="5" t="inlineStr">
        <is>
          <t>He</t>
        </is>
      </c>
      <c r="R4" s="5" t="inlineStr">
        <is>
          <t>none: bracket r</t>
        </is>
      </c>
      <c r="S4" s="12">
        <f>IF(C4="A",'Run grid'!$B$4,IF(C4="B",'Run grid'!$B$6,'Run grid'!$B$8))</f>
        <v/>
      </c>
      <c r="T4" s="9">
        <f>S4*'Run grid'!$B$22</f>
        <v/>
      </c>
      <c r="U4" s="5" t="inlineStr">
        <is>
          <t>He effect on alpha with no quencher</t>
        </is>
      </c>
      <c r="V4" s="5" t="inlineStr">
        <is>
          <t>Not operable</t>
        </is>
      </c>
      <c r="W4" s="5" t="n"/>
    </row>
    <row r="5">
      <c r="A5" s="5" t="inlineStr">
        <is>
          <t>B01</t>
        </is>
      </c>
      <c r="B5" s="5" t="inlineStr">
        <is>
          <t>Ar:CH4</t>
        </is>
      </c>
      <c r="C5" s="13" t="inlineStr">
        <is>
          <t>A</t>
        </is>
      </c>
      <c r="D5" s="5" t="inlineStr">
        <is>
          <t>Ar:CH4 98:2</t>
        </is>
      </c>
      <c r="E5" s="7" t="inlineStr">
        <is>
          <t>ch4</t>
        </is>
      </c>
      <c r="F5" s="8" t="n">
        <v>2</v>
      </c>
      <c r="G5" s="7" t="n"/>
      <c r="H5" s="8" t="n"/>
      <c r="I5" s="7" t="n"/>
      <c r="J5" s="8" t="n"/>
      <c r="K5" s="9">
        <f>100-F5-H5-J5</f>
        <v/>
      </c>
      <c r="L5" s="10">
        <f>(K5*INDEX(Components!$D$2:$D$17,MATCH("ar",Components!$A$2:$A$17,0))+IF(E5="",0,F5*INDEX(Components!$D$2:$D$17,MATCH(E5,Components!$A$2:$A$17,0)))+IF(G5="",0,H5*INDEX(Components!$D$2:$D$17,MATCH(G5,Components!$A$2:$A$17,0)))+IF(I5="",0,J5*INDEX(Components!$D$2:$D$17,MATCH(I5,Components!$A$2:$A$17,0))))/100</f>
        <v/>
      </c>
      <c r="M5" s="11">
        <f>K5*INDEX(Components!$D$2:$D$17,MATCH("ar",Components!$A$2:$A$17,0))/(K5*INDEX(Components!$D$2:$D$17,MATCH("ar",Components!$A$2:$A$17,0))+IF(E5="",0,F5*INDEX(Components!$D$2:$D$17,MATCH(E5,Components!$A$2:$A$17,0)))+IF(G5="",0,H5*INDEX(Components!$D$2:$D$17,MATCH(G5,Components!$A$2:$A$17,0)))+IF(I5="",0,J5*INDEX(Components!$D$2:$D$17,MATCH(I5,Components!$A$2:$A$17,0))))</f>
        <v/>
      </c>
      <c r="N5" s="10">
        <f>MIN(15.76,IF(E5="",99,INDEX(Components!$E$2:$E$17,MATCH(E5,Components!$A$2:$A$17,0))),IF(G5="",99,INDEX(Components!$E$2:$E$17,MATCH(G5,Components!$A$2:$A$17,0))),IF(I5="",99,INDEX(Components!$E$2:$E$17,MATCH(I5,Components!$A$2:$A$17,0))))</f>
        <v/>
      </c>
      <c r="O5" s="5">
        <f>IF(N5&lt;11.55,"4s, 4p and higher",IF(N5&lt;12.91,"4p and higher",IF(N5&lt;13.85,"3d/5s and higher",IF(N5&lt;15.76,"high Rydberg only","none"))))</f>
        <v/>
      </c>
      <c r="P5" s="9">
        <f>IF(E5="",0,IF(INDEX(Components!$F$2:$F$17,MATCH(E5,Components!$A$2:$A$17,0))&gt;0,F5,0))+IF(G5="",0,IF(INDEX(Components!$F$2:$F$17,MATCH(G5,Components!$A$2:$A$17,0))&gt;0,H5,0))+IF(I5="",0,IF(INDEX(Components!$F$2:$F$17,MATCH(I5,Components!$A$2:$A$17,0))&gt;0,J5,0))</f>
        <v/>
      </c>
      <c r="Q5" s="5" t="inlineStr">
        <is>
          <t>H, C</t>
        </is>
      </c>
      <c r="R5" s="5" t="inlineStr">
        <is>
          <t>auto: p- and c-dependent (Sahin 2010)</t>
        </is>
      </c>
      <c r="S5" s="12">
        <f>IF(C5="A",'Run grid'!$B$4,IF(C5="B",'Run grid'!$B$6,'Run grid'!$B$8))</f>
        <v/>
      </c>
      <c r="T5" s="9">
        <f>S5*'Run grid'!$B$22</f>
        <v/>
      </c>
      <c r="U5" s="5" t="inlineStr">
        <is>
          <t>Lowest-quencher candidate; SimGEM's original 8 bar mixture</t>
        </is>
      </c>
      <c r="V5" s="5" t="inlineStr">
        <is>
          <t>Photon feedback at high gain</t>
        </is>
      </c>
      <c r="W5" s="5" t="inlineStr">
        <is>
          <t>Ye et al. 98:2 counter, 1-28 atm</t>
        </is>
      </c>
    </row>
    <row r="6">
      <c r="A6" s="5" t="inlineStr">
        <is>
          <t>B02</t>
        </is>
      </c>
      <c r="B6" s="5" t="inlineStr">
        <is>
          <t>Ar:CH4</t>
        </is>
      </c>
      <c r="C6" s="14" t="inlineStr">
        <is>
          <t>B</t>
        </is>
      </c>
      <c r="D6" s="5" t="inlineStr">
        <is>
          <t>Ar:CH4 97:3</t>
        </is>
      </c>
      <c r="E6" s="7" t="inlineStr">
        <is>
          <t>ch4</t>
        </is>
      </c>
      <c r="F6" s="8" t="n">
        <v>3</v>
      </c>
      <c r="G6" s="7" t="n"/>
      <c r="H6" s="8" t="n"/>
      <c r="I6" s="7" t="n"/>
      <c r="J6" s="8" t="n"/>
      <c r="K6" s="9">
        <f>100-F6-H6-J6</f>
        <v/>
      </c>
      <c r="L6" s="10">
        <f>(K6*INDEX(Components!$D$2:$D$17,MATCH("ar",Components!$A$2:$A$17,0))+IF(E6="",0,F6*INDEX(Components!$D$2:$D$17,MATCH(E6,Components!$A$2:$A$17,0)))+IF(G6="",0,H6*INDEX(Components!$D$2:$D$17,MATCH(G6,Components!$A$2:$A$17,0)))+IF(I6="",0,J6*INDEX(Components!$D$2:$D$17,MATCH(I6,Components!$A$2:$A$17,0))))/100</f>
        <v/>
      </c>
      <c r="M6" s="11">
        <f>K6*INDEX(Components!$D$2:$D$17,MATCH("ar",Components!$A$2:$A$17,0))/(K6*INDEX(Components!$D$2:$D$17,MATCH("ar",Components!$A$2:$A$17,0))+IF(E6="",0,F6*INDEX(Components!$D$2:$D$17,MATCH(E6,Components!$A$2:$A$17,0)))+IF(G6="",0,H6*INDEX(Components!$D$2:$D$17,MATCH(G6,Components!$A$2:$A$17,0)))+IF(I6="",0,J6*INDEX(Components!$D$2:$D$17,MATCH(I6,Components!$A$2:$A$17,0))))</f>
        <v/>
      </c>
      <c r="N6" s="10">
        <f>MIN(15.76,IF(E6="",99,INDEX(Components!$E$2:$E$17,MATCH(E6,Components!$A$2:$A$17,0))),IF(G6="",99,INDEX(Components!$E$2:$E$17,MATCH(G6,Components!$A$2:$A$17,0))),IF(I6="",99,INDEX(Components!$E$2:$E$17,MATCH(I6,Components!$A$2:$A$17,0))))</f>
        <v/>
      </c>
      <c r="O6" s="5">
        <f>IF(N6&lt;11.55,"4s, 4p and higher",IF(N6&lt;12.91,"4p and higher",IF(N6&lt;13.85,"3d/5s and higher",IF(N6&lt;15.76,"high Rydberg only","none"))))</f>
        <v/>
      </c>
      <c r="P6" s="9">
        <f>IF(E6="",0,IF(INDEX(Components!$F$2:$F$17,MATCH(E6,Components!$A$2:$A$17,0))&gt;0,F6,0))+IF(G6="",0,IF(INDEX(Components!$F$2:$F$17,MATCH(G6,Components!$A$2:$A$17,0))&gt;0,H6,0))+IF(I6="",0,IF(INDEX(Components!$F$2:$F$17,MATCH(I6,Components!$A$2:$A$17,0))&gt;0,J6,0))</f>
        <v/>
      </c>
      <c r="Q6" s="5" t="inlineStr">
        <is>
          <t>H, C</t>
        </is>
      </c>
      <c r="R6" s="5" t="inlineStr">
        <is>
          <t>auto: p- and c-dependent (Sahin 2010)</t>
        </is>
      </c>
      <c r="S6" s="12">
        <f>IF(C6="A",'Run grid'!$B$4,IF(C6="B",'Run grid'!$B$6,'Run grid'!$B$8))</f>
        <v/>
      </c>
      <c r="T6" s="9">
        <f>S6*'Run grid'!$B$22</f>
        <v/>
      </c>
      <c r="U6" s="5" t="inlineStr">
        <is>
          <t>Fills the CH4 fraction scan</t>
        </is>
      </c>
      <c r="V6" s="5" t="n"/>
      <c r="W6" s="5" t="n"/>
    </row>
    <row r="7">
      <c r="A7" s="5" t="inlineStr">
        <is>
          <t>B03</t>
        </is>
      </c>
      <c r="B7" s="5" t="inlineStr">
        <is>
          <t>Ar:CH4</t>
        </is>
      </c>
      <c r="C7" s="13" t="inlineStr">
        <is>
          <t>A</t>
        </is>
      </c>
      <c r="D7" s="5" t="inlineStr">
        <is>
          <t>Ar:CH4 95:5</t>
        </is>
      </c>
      <c r="E7" s="7" t="inlineStr">
        <is>
          <t>ch4</t>
        </is>
      </c>
      <c r="F7" s="8" t="n">
        <v>5</v>
      </c>
      <c r="G7" s="7" t="n"/>
      <c r="H7" s="8" t="n"/>
      <c r="I7" s="7" t="n"/>
      <c r="J7" s="8" t="n"/>
      <c r="K7" s="9">
        <f>100-F7-H7-J7</f>
        <v/>
      </c>
      <c r="L7" s="10">
        <f>(K7*INDEX(Components!$D$2:$D$17,MATCH("ar",Components!$A$2:$A$17,0))+IF(E7="",0,F7*INDEX(Components!$D$2:$D$17,MATCH(E7,Components!$A$2:$A$17,0)))+IF(G7="",0,H7*INDEX(Components!$D$2:$D$17,MATCH(G7,Components!$A$2:$A$17,0)))+IF(I7="",0,J7*INDEX(Components!$D$2:$D$17,MATCH(I7,Components!$A$2:$A$17,0))))/100</f>
        <v/>
      </c>
      <c r="M7" s="11">
        <f>K7*INDEX(Components!$D$2:$D$17,MATCH("ar",Components!$A$2:$A$17,0))/(K7*INDEX(Components!$D$2:$D$17,MATCH("ar",Components!$A$2:$A$17,0))+IF(E7="",0,F7*INDEX(Components!$D$2:$D$17,MATCH(E7,Components!$A$2:$A$17,0)))+IF(G7="",0,H7*INDEX(Components!$D$2:$D$17,MATCH(G7,Components!$A$2:$A$17,0)))+IF(I7="",0,J7*INDEX(Components!$D$2:$D$17,MATCH(I7,Components!$A$2:$A$17,0))))</f>
        <v/>
      </c>
      <c r="N7" s="10">
        <f>MIN(15.76,IF(E7="",99,INDEX(Components!$E$2:$E$17,MATCH(E7,Components!$A$2:$A$17,0))),IF(G7="",99,INDEX(Components!$E$2:$E$17,MATCH(G7,Components!$A$2:$A$17,0))),IF(I7="",99,INDEX(Components!$E$2:$E$17,MATCH(I7,Components!$A$2:$A$17,0))))</f>
        <v/>
      </c>
      <c r="O7" s="5">
        <f>IF(N7&lt;11.55,"4s, 4p and higher",IF(N7&lt;12.91,"4p and higher",IF(N7&lt;13.85,"3d/5s and higher",IF(N7&lt;15.76,"high Rydberg only","none"))))</f>
        <v/>
      </c>
      <c r="P7" s="9">
        <f>IF(E7="",0,IF(INDEX(Components!$F$2:$F$17,MATCH(E7,Components!$A$2:$A$17,0))&gt;0,F7,0))+IF(G7="",0,IF(INDEX(Components!$F$2:$F$17,MATCH(G7,Components!$A$2:$A$17,0))&gt;0,H7,0))+IF(I7="",0,IF(INDEX(Components!$F$2:$F$17,MATCH(I7,Components!$A$2:$A$17,0))&gt;0,J7,0))</f>
        <v/>
      </c>
      <c r="Q7" s="5" t="inlineStr">
        <is>
          <t>H, C</t>
        </is>
      </c>
      <c r="R7" s="5" t="inlineStr">
        <is>
          <t>auto: p- and c-dependent (Sahin 2010)</t>
        </is>
      </c>
      <c r="S7" s="12">
        <f>IF(C7="A",'Run grid'!$B$4,IF(C7="B",'Run grid'!$B$6,'Run grid'!$B$8))</f>
        <v/>
      </c>
      <c r="T7" s="9">
        <f>S7*'Run grid'!$B$22</f>
        <v/>
      </c>
      <c r="U7" s="5" t="inlineStr">
        <is>
          <t>Middle of the CH4 scan; reference for the Ne/He and donor ternaries</t>
        </is>
      </c>
      <c r="V7" s="5" t="n"/>
      <c r="W7" s="5" t="n"/>
    </row>
    <row r="8">
      <c r="A8" s="5" t="inlineStr">
        <is>
          <t>B04</t>
        </is>
      </c>
      <c r="B8" s="5" t="inlineStr">
        <is>
          <t>Ar:CH4</t>
        </is>
      </c>
      <c r="C8" s="14" t="inlineStr">
        <is>
          <t>B</t>
        </is>
      </c>
      <c r="D8" s="5" t="inlineStr">
        <is>
          <t>Ar:CH4 93:7</t>
        </is>
      </c>
      <c r="E8" s="7" t="inlineStr">
        <is>
          <t>ch4</t>
        </is>
      </c>
      <c r="F8" s="8" t="n">
        <v>7</v>
      </c>
      <c r="G8" s="7" t="n"/>
      <c r="H8" s="8" t="n"/>
      <c r="I8" s="7" t="n"/>
      <c r="J8" s="8" t="n"/>
      <c r="K8" s="9">
        <f>100-F8-H8-J8</f>
        <v/>
      </c>
      <c r="L8" s="10">
        <f>(K8*INDEX(Components!$D$2:$D$17,MATCH("ar",Components!$A$2:$A$17,0))+IF(E8="",0,F8*INDEX(Components!$D$2:$D$17,MATCH(E8,Components!$A$2:$A$17,0)))+IF(G8="",0,H8*INDEX(Components!$D$2:$D$17,MATCH(G8,Components!$A$2:$A$17,0)))+IF(I8="",0,J8*INDEX(Components!$D$2:$D$17,MATCH(I8,Components!$A$2:$A$17,0))))/100</f>
        <v/>
      </c>
      <c r="M8" s="11">
        <f>K8*INDEX(Components!$D$2:$D$17,MATCH("ar",Components!$A$2:$A$17,0))/(K8*INDEX(Components!$D$2:$D$17,MATCH("ar",Components!$A$2:$A$17,0))+IF(E8="",0,F8*INDEX(Components!$D$2:$D$17,MATCH(E8,Components!$A$2:$A$17,0)))+IF(G8="",0,H8*INDEX(Components!$D$2:$D$17,MATCH(G8,Components!$A$2:$A$17,0)))+IF(I8="",0,J8*INDEX(Components!$D$2:$D$17,MATCH(I8,Components!$A$2:$A$17,0))))</f>
        <v/>
      </c>
      <c r="N8" s="10">
        <f>MIN(15.76,IF(E8="",99,INDEX(Components!$E$2:$E$17,MATCH(E8,Components!$A$2:$A$17,0))),IF(G8="",99,INDEX(Components!$E$2:$E$17,MATCH(G8,Components!$A$2:$A$17,0))),IF(I8="",99,INDEX(Components!$E$2:$E$17,MATCH(I8,Components!$A$2:$A$17,0))))</f>
        <v/>
      </c>
      <c r="O8" s="5">
        <f>IF(N8&lt;11.55,"4s, 4p and higher",IF(N8&lt;12.91,"4p and higher",IF(N8&lt;13.85,"3d/5s and higher",IF(N8&lt;15.76,"high Rydberg only","none"))))</f>
        <v/>
      </c>
      <c r="P8" s="9">
        <f>IF(E8="",0,IF(INDEX(Components!$F$2:$F$17,MATCH(E8,Components!$A$2:$A$17,0))&gt;0,F8,0))+IF(G8="",0,IF(INDEX(Components!$F$2:$F$17,MATCH(G8,Components!$A$2:$A$17,0))&gt;0,H8,0))+IF(I8="",0,IF(INDEX(Components!$F$2:$F$17,MATCH(I8,Components!$A$2:$A$17,0))&gt;0,J8,0))</f>
        <v/>
      </c>
      <c r="Q8" s="5" t="inlineStr">
        <is>
          <t>H, C</t>
        </is>
      </c>
      <c r="R8" s="5" t="inlineStr">
        <is>
          <t>auto: p- and c-dependent (Sahin 2010)</t>
        </is>
      </c>
      <c r="S8" s="12">
        <f>IF(C8="A",'Run grid'!$B$4,IF(C8="B",'Run grid'!$B$6,'Run grid'!$B$8))</f>
        <v/>
      </c>
      <c r="T8" s="9">
        <f>S8*'Run grid'!$B$22</f>
        <v/>
      </c>
      <c r="U8" s="5" t="inlineStr">
        <is>
          <t>Fills the CH4 fraction scan</t>
        </is>
      </c>
      <c r="V8" s="5" t="n"/>
      <c r="W8" s="5" t="n"/>
    </row>
    <row r="9">
      <c r="A9" s="5" t="inlineStr">
        <is>
          <t>B05</t>
        </is>
      </c>
      <c r="B9" s="5" t="inlineStr">
        <is>
          <t>Ar:CH4</t>
        </is>
      </c>
      <c r="C9" s="13" t="inlineStr">
        <is>
          <t>A</t>
        </is>
      </c>
      <c r="D9" s="5" t="inlineStr">
        <is>
          <t>Ar:CH4 90:10</t>
        </is>
      </c>
      <c r="E9" s="7" t="inlineStr">
        <is>
          <t>ch4</t>
        </is>
      </c>
      <c r="F9" s="8" t="n">
        <v>10</v>
      </c>
      <c r="G9" s="7" t="n"/>
      <c r="H9" s="8" t="n"/>
      <c r="I9" s="7" t="n"/>
      <c r="J9" s="8" t="n"/>
      <c r="K9" s="9">
        <f>100-F9-H9-J9</f>
        <v/>
      </c>
      <c r="L9" s="10">
        <f>(K9*INDEX(Components!$D$2:$D$17,MATCH("ar",Components!$A$2:$A$17,0))+IF(E9="",0,F9*INDEX(Components!$D$2:$D$17,MATCH(E9,Components!$A$2:$A$17,0)))+IF(G9="",0,H9*INDEX(Components!$D$2:$D$17,MATCH(G9,Components!$A$2:$A$17,0)))+IF(I9="",0,J9*INDEX(Components!$D$2:$D$17,MATCH(I9,Components!$A$2:$A$17,0))))/100</f>
        <v/>
      </c>
      <c r="M9" s="11">
        <f>K9*INDEX(Components!$D$2:$D$17,MATCH("ar",Components!$A$2:$A$17,0))/(K9*INDEX(Components!$D$2:$D$17,MATCH("ar",Components!$A$2:$A$17,0))+IF(E9="",0,F9*INDEX(Components!$D$2:$D$17,MATCH(E9,Components!$A$2:$A$17,0)))+IF(G9="",0,H9*INDEX(Components!$D$2:$D$17,MATCH(G9,Components!$A$2:$A$17,0)))+IF(I9="",0,J9*INDEX(Components!$D$2:$D$17,MATCH(I9,Components!$A$2:$A$17,0))))</f>
        <v/>
      </c>
      <c r="N9" s="10">
        <f>MIN(15.76,IF(E9="",99,INDEX(Components!$E$2:$E$17,MATCH(E9,Components!$A$2:$A$17,0))),IF(G9="",99,INDEX(Components!$E$2:$E$17,MATCH(G9,Components!$A$2:$A$17,0))),IF(I9="",99,INDEX(Components!$E$2:$E$17,MATCH(I9,Components!$A$2:$A$17,0))))</f>
        <v/>
      </c>
      <c r="O9" s="5">
        <f>IF(N9&lt;11.55,"4s, 4p and higher",IF(N9&lt;12.91,"4p and higher",IF(N9&lt;13.85,"3d/5s and higher",IF(N9&lt;15.76,"high Rydberg only","none"))))</f>
        <v/>
      </c>
      <c r="P9" s="9">
        <f>IF(E9="",0,IF(INDEX(Components!$F$2:$F$17,MATCH(E9,Components!$A$2:$A$17,0))&gt;0,F9,0))+IF(G9="",0,IF(INDEX(Components!$F$2:$F$17,MATCH(G9,Components!$A$2:$A$17,0))&gt;0,H9,0))+IF(I9="",0,IF(INDEX(Components!$F$2:$F$17,MATCH(I9,Components!$A$2:$A$17,0))&gt;0,J9,0))</f>
        <v/>
      </c>
      <c r="Q9" s="5" t="inlineStr">
        <is>
          <t>H, C</t>
        </is>
      </c>
      <c r="R9" s="5" t="inlineStr">
        <is>
          <t>auto: p- and c-dependent (Sahin 2010)</t>
        </is>
      </c>
      <c r="S9" s="12">
        <f>IF(C9="A",'Run grid'!$B$4,IF(C9="B",'Run grid'!$B$6,'Run grid'!$B$8))</f>
        <v/>
      </c>
      <c r="T9" s="9">
        <f>S9*'Run grid'!$B$22</f>
        <v/>
      </c>
      <c r="U9" s="5" t="inlineStr">
        <is>
          <t>ND-GAr baseline (P10)</t>
        </is>
      </c>
      <c r="V9" s="5" t="n"/>
      <c r="W9" s="5" t="inlineStr">
        <is>
          <t>Ye et al. 90:10 counter, 1-21 atm; P10 drift data</t>
        </is>
      </c>
    </row>
    <row r="10">
      <c r="A10" s="5" t="inlineStr">
        <is>
          <t>B06</t>
        </is>
      </c>
      <c r="B10" s="5" t="inlineStr">
        <is>
          <t>Ar:CO2</t>
        </is>
      </c>
      <c r="C10" s="14" t="inlineStr">
        <is>
          <t>B</t>
        </is>
      </c>
      <c r="D10" s="5" t="inlineStr">
        <is>
          <t>Ar:CO2 98:2</t>
        </is>
      </c>
      <c r="E10" s="7" t="inlineStr">
        <is>
          <t>co2</t>
        </is>
      </c>
      <c r="F10" s="8" t="n">
        <v>2</v>
      </c>
      <c r="G10" s="7" t="n"/>
      <c r="H10" s="8" t="n"/>
      <c r="I10" s="7" t="n"/>
      <c r="J10" s="8" t="n"/>
      <c r="K10" s="9">
        <f>100-F10-H10-J10</f>
        <v/>
      </c>
      <c r="L10" s="10">
        <f>(K10*INDEX(Components!$D$2:$D$17,MATCH("ar",Components!$A$2:$A$17,0))+IF(E10="",0,F10*INDEX(Components!$D$2:$D$17,MATCH(E10,Components!$A$2:$A$17,0)))+IF(G10="",0,H10*INDEX(Components!$D$2:$D$17,MATCH(G10,Components!$A$2:$A$17,0)))+IF(I10="",0,J10*INDEX(Components!$D$2:$D$17,MATCH(I10,Components!$A$2:$A$17,0))))/100</f>
        <v/>
      </c>
      <c r="M10" s="11">
        <f>K10*INDEX(Components!$D$2:$D$17,MATCH("ar",Components!$A$2:$A$17,0))/(K10*INDEX(Components!$D$2:$D$17,MATCH("ar",Components!$A$2:$A$17,0))+IF(E10="",0,F10*INDEX(Components!$D$2:$D$17,MATCH(E10,Components!$A$2:$A$17,0)))+IF(G10="",0,H10*INDEX(Components!$D$2:$D$17,MATCH(G10,Components!$A$2:$A$17,0)))+IF(I10="",0,J10*INDEX(Components!$D$2:$D$17,MATCH(I10,Components!$A$2:$A$17,0))))</f>
        <v/>
      </c>
      <c r="N10" s="10">
        <f>MIN(15.76,IF(E10="",99,INDEX(Components!$E$2:$E$17,MATCH(E10,Components!$A$2:$A$17,0))),IF(G10="",99,INDEX(Components!$E$2:$E$17,MATCH(G10,Components!$A$2:$A$17,0))),IF(I10="",99,INDEX(Components!$E$2:$E$17,MATCH(I10,Components!$A$2:$A$17,0))))</f>
        <v/>
      </c>
      <c r="O10" s="5">
        <f>IF(N10&lt;11.55,"4s, 4p and higher",IF(N10&lt;12.91,"4p and higher",IF(N10&lt;13.85,"3d/5s and higher",IF(N10&lt;15.76,"high Rydberg only","none"))))</f>
        <v/>
      </c>
      <c r="P10" s="9">
        <f>IF(E10="",0,IF(INDEX(Components!$F$2:$F$17,MATCH(E10,Components!$A$2:$A$17,0))&gt;0,F10,0))+IF(G10="",0,IF(INDEX(Components!$F$2:$F$17,MATCH(G10,Components!$A$2:$A$17,0))&gt;0,H10,0))+IF(I10="",0,IF(INDEX(Components!$F$2:$F$17,MATCH(I10,Components!$A$2:$A$17,0))&gt;0,J10,0))</f>
        <v/>
      </c>
      <c r="Q10" s="5" t="inlineStr">
        <is>
          <t>C, O</t>
        </is>
      </c>
      <c r="R10" s="5" t="inlineStr">
        <is>
          <t>auto: 1 atm: Sahin 2014; other p: JINST 12 C01035</t>
        </is>
      </c>
      <c r="S10" s="12">
        <f>IF(C10="A",'Run grid'!$B$4,IF(C10="B",'Run grid'!$B$6,'Run grid'!$B$8))</f>
        <v/>
      </c>
      <c r="T10" s="9">
        <f>S10*'Run grid'!$B$22</f>
        <v/>
      </c>
      <c r="U10" s="5" t="inlineStr">
        <is>
          <t>Low-diffusion family, lowest fraction</t>
        </is>
      </c>
      <c r="V10" s="5" t="inlineStr">
        <is>
          <t>Photon feedback</t>
        </is>
      </c>
      <c r="W10" s="5" t="n"/>
    </row>
    <row r="11">
      <c r="A11" s="5" t="inlineStr">
        <is>
          <t>B07</t>
        </is>
      </c>
      <c r="B11" s="5" t="inlineStr">
        <is>
          <t>Ar:CO2</t>
        </is>
      </c>
      <c r="C11" s="6" t="inlineStr">
        <is>
          <t>C</t>
        </is>
      </c>
      <c r="D11" s="5" t="inlineStr">
        <is>
          <t>Ar:CO2 97:3</t>
        </is>
      </c>
      <c r="E11" s="7" t="inlineStr">
        <is>
          <t>co2</t>
        </is>
      </c>
      <c r="F11" s="8" t="n">
        <v>3</v>
      </c>
      <c r="G11" s="7" t="n"/>
      <c r="H11" s="8" t="n"/>
      <c r="I11" s="7" t="n"/>
      <c r="J11" s="8" t="n"/>
      <c r="K11" s="9">
        <f>100-F11-H11-J11</f>
        <v/>
      </c>
      <c r="L11" s="10">
        <f>(K11*INDEX(Components!$D$2:$D$17,MATCH("ar",Components!$A$2:$A$17,0))+IF(E11="",0,F11*INDEX(Components!$D$2:$D$17,MATCH(E11,Components!$A$2:$A$17,0)))+IF(G11="",0,H11*INDEX(Components!$D$2:$D$17,MATCH(G11,Components!$A$2:$A$17,0)))+IF(I11="",0,J11*INDEX(Components!$D$2:$D$17,MATCH(I11,Components!$A$2:$A$17,0))))/100</f>
        <v/>
      </c>
      <c r="M11" s="11">
        <f>K11*INDEX(Components!$D$2:$D$17,MATCH("ar",Components!$A$2:$A$17,0))/(K11*INDEX(Components!$D$2:$D$17,MATCH("ar",Components!$A$2:$A$17,0))+IF(E11="",0,F11*INDEX(Components!$D$2:$D$17,MATCH(E11,Components!$A$2:$A$17,0)))+IF(G11="",0,H11*INDEX(Components!$D$2:$D$17,MATCH(G11,Components!$A$2:$A$17,0)))+IF(I11="",0,J11*INDEX(Components!$D$2:$D$17,MATCH(I11,Components!$A$2:$A$17,0))))</f>
        <v/>
      </c>
      <c r="N11" s="10">
        <f>MIN(15.76,IF(E11="",99,INDEX(Components!$E$2:$E$17,MATCH(E11,Components!$A$2:$A$17,0))),IF(G11="",99,INDEX(Components!$E$2:$E$17,MATCH(G11,Components!$A$2:$A$17,0))),IF(I11="",99,INDEX(Components!$E$2:$E$17,MATCH(I11,Components!$A$2:$A$17,0))))</f>
        <v/>
      </c>
      <c r="O11" s="5">
        <f>IF(N11&lt;11.55,"4s, 4p and higher",IF(N11&lt;12.91,"4p and higher",IF(N11&lt;13.85,"3d/5s and higher",IF(N11&lt;15.76,"high Rydberg only","none"))))</f>
        <v/>
      </c>
      <c r="P11" s="9">
        <f>IF(E11="",0,IF(INDEX(Components!$F$2:$F$17,MATCH(E11,Components!$A$2:$A$17,0))&gt;0,F11,0))+IF(G11="",0,IF(INDEX(Components!$F$2:$F$17,MATCH(G11,Components!$A$2:$A$17,0))&gt;0,H11,0))+IF(I11="",0,IF(INDEX(Components!$F$2:$F$17,MATCH(I11,Components!$A$2:$A$17,0))&gt;0,J11,0))</f>
        <v/>
      </c>
      <c r="Q11" s="5" t="inlineStr">
        <is>
          <t>C, O</t>
        </is>
      </c>
      <c r="R11" s="5" t="inlineStr">
        <is>
          <t>auto: 1 atm: Sahin 2014; other p: JINST 12 C01035</t>
        </is>
      </c>
      <c r="S11" s="12">
        <f>IF(C11="A",'Run grid'!$B$4,IF(C11="B",'Run grid'!$B$6,'Run grid'!$B$8))</f>
        <v/>
      </c>
      <c r="T11" s="9">
        <f>S11*'Run grid'!$B$22</f>
        <v/>
      </c>
      <c r="U11" s="5" t="inlineStr">
        <is>
          <t>Fills the CO2 fraction scan</t>
        </is>
      </c>
      <c r="V11" s="5" t="n"/>
      <c r="W11" s="5" t="n"/>
    </row>
    <row r="12">
      <c r="A12" s="5" t="inlineStr">
        <is>
          <t>B08</t>
        </is>
      </c>
      <c r="B12" s="5" t="inlineStr">
        <is>
          <t>Ar:CO2</t>
        </is>
      </c>
      <c r="C12" s="13" t="inlineStr">
        <is>
          <t>A</t>
        </is>
      </c>
      <c r="D12" s="5" t="inlineStr">
        <is>
          <t>Ar:CO2 95:5</t>
        </is>
      </c>
      <c r="E12" s="7" t="inlineStr">
        <is>
          <t>co2</t>
        </is>
      </c>
      <c r="F12" s="8" t="n">
        <v>5</v>
      </c>
      <c r="G12" s="7" t="n"/>
      <c r="H12" s="8" t="n"/>
      <c r="I12" s="7" t="n"/>
      <c r="J12" s="8" t="n"/>
      <c r="K12" s="9">
        <f>100-F12-H12-J12</f>
        <v/>
      </c>
      <c r="L12" s="10">
        <f>(K12*INDEX(Components!$D$2:$D$17,MATCH("ar",Components!$A$2:$A$17,0))+IF(E12="",0,F12*INDEX(Components!$D$2:$D$17,MATCH(E12,Components!$A$2:$A$17,0)))+IF(G12="",0,H12*INDEX(Components!$D$2:$D$17,MATCH(G12,Components!$A$2:$A$17,0)))+IF(I12="",0,J12*INDEX(Components!$D$2:$D$17,MATCH(I12,Components!$A$2:$A$17,0))))/100</f>
        <v/>
      </c>
      <c r="M12" s="11">
        <f>K12*INDEX(Components!$D$2:$D$17,MATCH("ar",Components!$A$2:$A$17,0))/(K12*INDEX(Components!$D$2:$D$17,MATCH("ar",Components!$A$2:$A$17,0))+IF(E12="",0,F12*INDEX(Components!$D$2:$D$17,MATCH(E12,Components!$A$2:$A$17,0)))+IF(G12="",0,H12*INDEX(Components!$D$2:$D$17,MATCH(G12,Components!$A$2:$A$17,0)))+IF(I12="",0,J12*INDEX(Components!$D$2:$D$17,MATCH(I12,Components!$A$2:$A$17,0))))</f>
        <v/>
      </c>
      <c r="N12" s="10">
        <f>MIN(15.76,IF(E12="",99,INDEX(Components!$E$2:$E$17,MATCH(E12,Components!$A$2:$A$17,0))),IF(G12="",99,INDEX(Components!$E$2:$E$17,MATCH(G12,Components!$A$2:$A$17,0))),IF(I12="",99,INDEX(Components!$E$2:$E$17,MATCH(I12,Components!$A$2:$A$17,0))))</f>
        <v/>
      </c>
      <c r="O12" s="5">
        <f>IF(N12&lt;11.55,"4s, 4p and higher",IF(N12&lt;12.91,"4p and higher",IF(N12&lt;13.85,"3d/5s and higher",IF(N12&lt;15.76,"high Rydberg only","none"))))</f>
        <v/>
      </c>
      <c r="P12" s="9">
        <f>IF(E12="",0,IF(INDEX(Components!$F$2:$F$17,MATCH(E12,Components!$A$2:$A$17,0))&gt;0,F12,0))+IF(G12="",0,IF(INDEX(Components!$F$2:$F$17,MATCH(G12,Components!$A$2:$A$17,0))&gt;0,H12,0))+IF(I12="",0,IF(INDEX(Components!$F$2:$F$17,MATCH(I12,Components!$A$2:$A$17,0))&gt;0,J12,0))</f>
        <v/>
      </c>
      <c r="Q12" s="5" t="inlineStr">
        <is>
          <t>C, O</t>
        </is>
      </c>
      <c r="R12" s="5" t="inlineStr">
        <is>
          <t>auto: 1 atm: Sahin 2014; other p: JINST 12 C01035</t>
        </is>
      </c>
      <c r="S12" s="12">
        <f>IF(C12="A",'Run grid'!$B$4,IF(C12="B",'Run grid'!$B$6,'Run grid'!$B$8))</f>
        <v/>
      </c>
      <c r="T12" s="9">
        <f>S12*'Run grid'!$B$22</f>
        <v/>
      </c>
      <c r="U12" s="5" t="inlineStr">
        <is>
          <t>Low-diffusion candidate</t>
        </is>
      </c>
      <c r="V12" s="5" t="inlineStr">
        <is>
          <t>O2 three-body attachment</t>
        </is>
      </c>
      <c r="W12" s="5" t="n"/>
    </row>
    <row r="13">
      <c r="A13" s="5" t="inlineStr">
        <is>
          <t>B09</t>
        </is>
      </c>
      <c r="B13" s="5" t="inlineStr">
        <is>
          <t>Ar:CO2</t>
        </is>
      </c>
      <c r="C13" s="6" t="inlineStr">
        <is>
          <t>C</t>
        </is>
      </c>
      <c r="D13" s="5" t="inlineStr">
        <is>
          <t>Ar:CO2 93:7</t>
        </is>
      </c>
      <c r="E13" s="7" t="inlineStr">
        <is>
          <t>co2</t>
        </is>
      </c>
      <c r="F13" s="8" t="n">
        <v>7</v>
      </c>
      <c r="G13" s="7" t="n"/>
      <c r="H13" s="8" t="n"/>
      <c r="I13" s="7" t="n"/>
      <c r="J13" s="8" t="n"/>
      <c r="K13" s="9">
        <f>100-F13-H13-J13</f>
        <v/>
      </c>
      <c r="L13" s="10">
        <f>(K13*INDEX(Components!$D$2:$D$17,MATCH("ar",Components!$A$2:$A$17,0))+IF(E13="",0,F13*INDEX(Components!$D$2:$D$17,MATCH(E13,Components!$A$2:$A$17,0)))+IF(G13="",0,H13*INDEX(Components!$D$2:$D$17,MATCH(G13,Components!$A$2:$A$17,0)))+IF(I13="",0,J13*INDEX(Components!$D$2:$D$17,MATCH(I13,Components!$A$2:$A$17,0))))/100</f>
        <v/>
      </c>
      <c r="M13" s="11">
        <f>K13*INDEX(Components!$D$2:$D$17,MATCH("ar",Components!$A$2:$A$17,0))/(K13*INDEX(Components!$D$2:$D$17,MATCH("ar",Components!$A$2:$A$17,0))+IF(E13="",0,F13*INDEX(Components!$D$2:$D$17,MATCH(E13,Components!$A$2:$A$17,0)))+IF(G13="",0,H13*INDEX(Components!$D$2:$D$17,MATCH(G13,Components!$A$2:$A$17,0)))+IF(I13="",0,J13*INDEX(Components!$D$2:$D$17,MATCH(I13,Components!$A$2:$A$17,0))))</f>
        <v/>
      </c>
      <c r="N13" s="10">
        <f>MIN(15.76,IF(E13="",99,INDEX(Components!$E$2:$E$17,MATCH(E13,Components!$A$2:$A$17,0))),IF(G13="",99,INDEX(Components!$E$2:$E$17,MATCH(G13,Components!$A$2:$A$17,0))),IF(I13="",99,INDEX(Components!$E$2:$E$17,MATCH(I13,Components!$A$2:$A$17,0))))</f>
        <v/>
      </c>
      <c r="O13" s="5">
        <f>IF(N13&lt;11.55,"4s, 4p and higher",IF(N13&lt;12.91,"4p and higher",IF(N13&lt;13.85,"3d/5s and higher",IF(N13&lt;15.76,"high Rydberg only","none"))))</f>
        <v/>
      </c>
      <c r="P13" s="9">
        <f>IF(E13="",0,IF(INDEX(Components!$F$2:$F$17,MATCH(E13,Components!$A$2:$A$17,0))&gt;0,F13,0))+IF(G13="",0,IF(INDEX(Components!$F$2:$F$17,MATCH(G13,Components!$A$2:$A$17,0))&gt;0,H13,0))+IF(I13="",0,IF(INDEX(Components!$F$2:$F$17,MATCH(I13,Components!$A$2:$A$17,0))&gt;0,J13,0))</f>
        <v/>
      </c>
      <c r="Q13" s="5" t="inlineStr">
        <is>
          <t>C, O</t>
        </is>
      </c>
      <c r="R13" s="5" t="inlineStr">
        <is>
          <t>auto: 1 atm: Sahin 2014; other p: JINST 12 C01035</t>
        </is>
      </c>
      <c r="S13" s="12">
        <f>IF(C13="A",'Run grid'!$B$4,IF(C13="B",'Run grid'!$B$6,'Run grid'!$B$8))</f>
        <v/>
      </c>
      <c r="T13" s="9">
        <f>S13*'Run grid'!$B$22</f>
        <v/>
      </c>
      <c r="U13" s="5" t="inlineStr">
        <is>
          <t>Fills the CO2 fraction scan</t>
        </is>
      </c>
      <c r="V13" s="5" t="n"/>
      <c r="W13" s="5" t="n"/>
    </row>
    <row r="14">
      <c r="A14" s="5" t="inlineStr">
        <is>
          <t>B10</t>
        </is>
      </c>
      <c r="B14" s="5" t="inlineStr">
        <is>
          <t>Ar:CO2</t>
        </is>
      </c>
      <c r="C14" s="13" t="inlineStr">
        <is>
          <t>A</t>
        </is>
      </c>
      <c r="D14" s="5" t="inlineStr">
        <is>
          <t>Ar:CO2 90:10</t>
        </is>
      </c>
      <c r="E14" s="7" t="inlineStr">
        <is>
          <t>co2</t>
        </is>
      </c>
      <c r="F14" s="8" t="n">
        <v>10</v>
      </c>
      <c r="G14" s="7" t="n"/>
      <c r="H14" s="8" t="n"/>
      <c r="I14" s="7" t="n"/>
      <c r="J14" s="8" t="n"/>
      <c r="K14" s="9">
        <f>100-F14-H14-J14</f>
        <v/>
      </c>
      <c r="L14" s="10">
        <f>(K14*INDEX(Components!$D$2:$D$17,MATCH("ar",Components!$A$2:$A$17,0))+IF(E14="",0,F14*INDEX(Components!$D$2:$D$17,MATCH(E14,Components!$A$2:$A$17,0)))+IF(G14="",0,H14*INDEX(Components!$D$2:$D$17,MATCH(G14,Components!$A$2:$A$17,0)))+IF(I14="",0,J14*INDEX(Components!$D$2:$D$17,MATCH(I14,Components!$A$2:$A$17,0))))/100</f>
        <v/>
      </c>
      <c r="M14" s="11">
        <f>K14*INDEX(Components!$D$2:$D$17,MATCH("ar",Components!$A$2:$A$17,0))/(K14*INDEX(Components!$D$2:$D$17,MATCH("ar",Components!$A$2:$A$17,0))+IF(E14="",0,F14*INDEX(Components!$D$2:$D$17,MATCH(E14,Components!$A$2:$A$17,0)))+IF(G14="",0,H14*INDEX(Components!$D$2:$D$17,MATCH(G14,Components!$A$2:$A$17,0)))+IF(I14="",0,J14*INDEX(Components!$D$2:$D$17,MATCH(I14,Components!$A$2:$A$17,0))))</f>
        <v/>
      </c>
      <c r="N14" s="10">
        <f>MIN(15.76,IF(E14="",99,INDEX(Components!$E$2:$E$17,MATCH(E14,Components!$A$2:$A$17,0))),IF(G14="",99,INDEX(Components!$E$2:$E$17,MATCH(G14,Components!$A$2:$A$17,0))),IF(I14="",99,INDEX(Components!$E$2:$E$17,MATCH(I14,Components!$A$2:$A$17,0))))</f>
        <v/>
      </c>
      <c r="O14" s="5">
        <f>IF(N14&lt;11.55,"4s, 4p and higher",IF(N14&lt;12.91,"4p and higher",IF(N14&lt;13.85,"3d/5s and higher",IF(N14&lt;15.76,"high Rydberg only","none"))))</f>
        <v/>
      </c>
      <c r="P14" s="9">
        <f>IF(E14="",0,IF(INDEX(Components!$F$2:$F$17,MATCH(E14,Components!$A$2:$A$17,0))&gt;0,F14,0))+IF(G14="",0,IF(INDEX(Components!$F$2:$F$17,MATCH(G14,Components!$A$2:$A$17,0))&gt;0,H14,0))+IF(I14="",0,IF(INDEX(Components!$F$2:$F$17,MATCH(I14,Components!$A$2:$A$17,0))&gt;0,J14,0))</f>
        <v/>
      </c>
      <c r="Q14" s="5" t="inlineStr">
        <is>
          <t>C, O</t>
        </is>
      </c>
      <c r="R14" s="5" t="inlineStr">
        <is>
          <t>auto: 1 atm: Sahin 2014; other p: JINST 12 C01035</t>
        </is>
      </c>
      <c r="S14" s="12">
        <f>IF(C14="A",'Run grid'!$B$4,IF(C14="B",'Run grid'!$B$6,'Run grid'!$B$8))</f>
        <v/>
      </c>
      <c r="T14" s="9">
        <f>S14*'Run grid'!$B$22</f>
        <v/>
      </c>
      <c r="U14" s="5" t="inlineStr">
        <is>
          <t>Low-diffusion candidate; GORG data at 1 bar</t>
        </is>
      </c>
      <c r="V14" s="5" t="inlineStr">
        <is>
          <t>O2 three-body attachment</t>
        </is>
      </c>
      <c r="W14" s="5" t="inlineStr">
        <is>
          <t>GORG Ar:CO2 90:10 (15 psi)</t>
        </is>
      </c>
    </row>
    <row r="15">
      <c r="A15" s="5" t="inlineStr">
        <is>
          <t>B11</t>
        </is>
      </c>
      <c r="B15" s="5" t="inlineStr">
        <is>
          <t>Ar:CF4</t>
        </is>
      </c>
      <c r="C15" s="6" t="inlineStr">
        <is>
          <t>C</t>
        </is>
      </c>
      <c r="D15" s="5" t="inlineStr">
        <is>
          <t>Ar:CF4 98:2</t>
        </is>
      </c>
      <c r="E15" s="7" t="inlineStr">
        <is>
          <t>cf4</t>
        </is>
      </c>
      <c r="F15" s="8" t="n">
        <v>2</v>
      </c>
      <c r="G15" s="7" t="n"/>
      <c r="H15" s="8" t="n"/>
      <c r="I15" s="7" t="n"/>
      <c r="J15" s="8" t="n"/>
      <c r="K15" s="9">
        <f>100-F15-H15-J15</f>
        <v/>
      </c>
      <c r="L15" s="10">
        <f>(K15*INDEX(Components!$D$2:$D$17,MATCH("ar",Components!$A$2:$A$17,0))+IF(E15="",0,F15*INDEX(Components!$D$2:$D$17,MATCH(E15,Components!$A$2:$A$17,0)))+IF(G15="",0,H15*INDEX(Components!$D$2:$D$17,MATCH(G15,Components!$A$2:$A$17,0)))+IF(I15="",0,J15*INDEX(Components!$D$2:$D$17,MATCH(I15,Components!$A$2:$A$17,0))))/100</f>
        <v/>
      </c>
      <c r="M15" s="11">
        <f>K15*INDEX(Components!$D$2:$D$17,MATCH("ar",Components!$A$2:$A$17,0))/(K15*INDEX(Components!$D$2:$D$17,MATCH("ar",Components!$A$2:$A$17,0))+IF(E15="",0,F15*INDEX(Components!$D$2:$D$17,MATCH(E15,Components!$A$2:$A$17,0)))+IF(G15="",0,H15*INDEX(Components!$D$2:$D$17,MATCH(G15,Components!$A$2:$A$17,0)))+IF(I15="",0,J15*INDEX(Components!$D$2:$D$17,MATCH(I15,Components!$A$2:$A$17,0))))</f>
        <v/>
      </c>
      <c r="N15" s="10">
        <f>MIN(15.76,IF(E15="",99,INDEX(Components!$E$2:$E$17,MATCH(E15,Components!$A$2:$A$17,0))),IF(G15="",99,INDEX(Components!$E$2:$E$17,MATCH(G15,Components!$A$2:$A$17,0))),IF(I15="",99,INDEX(Components!$E$2:$E$17,MATCH(I15,Components!$A$2:$A$17,0))))</f>
        <v/>
      </c>
      <c r="O15" s="5">
        <f>IF(N15&lt;11.55,"4s, 4p and higher",IF(N15&lt;12.91,"4p and higher",IF(N15&lt;13.85,"3d/5s and higher",IF(N15&lt;15.76,"high Rydberg only","none"))))</f>
        <v/>
      </c>
      <c r="P15" s="9">
        <f>IF(E15="",0,IF(INDEX(Components!$F$2:$F$17,MATCH(E15,Components!$A$2:$A$17,0))&gt;0,F15,0))+IF(G15="",0,IF(INDEX(Components!$F$2:$F$17,MATCH(G15,Components!$A$2:$A$17,0))&gt;0,H15,0))+IF(I15="",0,IF(INDEX(Components!$F$2:$F$17,MATCH(I15,Components!$A$2:$A$17,0))&gt;0,J15,0))</f>
        <v/>
      </c>
      <c r="Q15" s="5" t="inlineStr">
        <is>
          <t>C, F</t>
        </is>
      </c>
      <c r="R15" s="5" t="inlineStr">
        <is>
          <t>none: bracket r</t>
        </is>
      </c>
      <c r="S15" s="12">
        <f>IF(C15="A",'Run grid'!$B$4,IF(C15="B",'Run grid'!$B$6,'Run grid'!$B$8))</f>
        <v/>
      </c>
      <c r="T15" s="9">
        <f>S15*'Run grid'!$B$22</f>
        <v/>
      </c>
      <c r="U15" s="5" t="inlineStr">
        <is>
          <t>Fast drift, low diffusion</t>
        </is>
      </c>
      <c r="V15" s="5" t="inlineStr">
        <is>
          <t>Hole-field attachment</t>
        </is>
      </c>
      <c r="W15" s="5" t="n"/>
    </row>
    <row r="16">
      <c r="A16" s="5" t="inlineStr">
        <is>
          <t>B12</t>
        </is>
      </c>
      <c r="B16" s="5" t="inlineStr">
        <is>
          <t>Ar:CF4</t>
        </is>
      </c>
      <c r="C16" s="14" t="inlineStr">
        <is>
          <t>B</t>
        </is>
      </c>
      <c r="D16" s="5" t="inlineStr">
        <is>
          <t>Ar:CF4 95:5</t>
        </is>
      </c>
      <c r="E16" s="7" t="inlineStr">
        <is>
          <t>cf4</t>
        </is>
      </c>
      <c r="F16" s="8" t="n">
        <v>5</v>
      </c>
      <c r="G16" s="7" t="n"/>
      <c r="H16" s="8" t="n"/>
      <c r="I16" s="7" t="n"/>
      <c r="J16" s="8" t="n"/>
      <c r="K16" s="9">
        <f>100-F16-H16-J16</f>
        <v/>
      </c>
      <c r="L16" s="10">
        <f>(K16*INDEX(Components!$D$2:$D$17,MATCH("ar",Components!$A$2:$A$17,0))+IF(E16="",0,F16*INDEX(Components!$D$2:$D$17,MATCH(E16,Components!$A$2:$A$17,0)))+IF(G16="",0,H16*INDEX(Components!$D$2:$D$17,MATCH(G16,Components!$A$2:$A$17,0)))+IF(I16="",0,J16*INDEX(Components!$D$2:$D$17,MATCH(I16,Components!$A$2:$A$17,0))))/100</f>
        <v/>
      </c>
      <c r="M16" s="11">
        <f>K16*INDEX(Components!$D$2:$D$17,MATCH("ar",Components!$A$2:$A$17,0))/(K16*INDEX(Components!$D$2:$D$17,MATCH("ar",Components!$A$2:$A$17,0))+IF(E16="",0,F16*INDEX(Components!$D$2:$D$17,MATCH(E16,Components!$A$2:$A$17,0)))+IF(G16="",0,H16*INDEX(Components!$D$2:$D$17,MATCH(G16,Components!$A$2:$A$17,0)))+IF(I16="",0,J16*INDEX(Components!$D$2:$D$17,MATCH(I16,Components!$A$2:$A$17,0))))</f>
        <v/>
      </c>
      <c r="N16" s="10">
        <f>MIN(15.76,IF(E16="",99,INDEX(Components!$E$2:$E$17,MATCH(E16,Components!$A$2:$A$17,0))),IF(G16="",99,INDEX(Components!$E$2:$E$17,MATCH(G16,Components!$A$2:$A$17,0))),IF(I16="",99,INDEX(Components!$E$2:$E$17,MATCH(I16,Components!$A$2:$A$17,0))))</f>
        <v/>
      </c>
      <c r="O16" s="5">
        <f>IF(N16&lt;11.55,"4s, 4p and higher",IF(N16&lt;12.91,"4p and higher",IF(N16&lt;13.85,"3d/5s and higher",IF(N16&lt;15.76,"high Rydberg only","none"))))</f>
        <v/>
      </c>
      <c r="P16" s="9">
        <f>IF(E16="",0,IF(INDEX(Components!$F$2:$F$17,MATCH(E16,Components!$A$2:$A$17,0))&gt;0,F16,0))+IF(G16="",0,IF(INDEX(Components!$F$2:$F$17,MATCH(G16,Components!$A$2:$A$17,0))&gt;0,H16,0))+IF(I16="",0,IF(INDEX(Components!$F$2:$F$17,MATCH(I16,Components!$A$2:$A$17,0))&gt;0,J16,0))</f>
        <v/>
      </c>
      <c r="Q16" s="5" t="inlineStr">
        <is>
          <t>C, F</t>
        </is>
      </c>
      <c r="R16" s="5" t="inlineStr">
        <is>
          <t>none: bracket r</t>
        </is>
      </c>
      <c r="S16" s="12">
        <f>IF(C16="A",'Run grid'!$B$4,IF(C16="B",'Run grid'!$B$6,'Run grid'!$B$8))</f>
        <v/>
      </c>
      <c r="T16" s="9">
        <f>S16*'Run grid'!$B$22</f>
        <v/>
      </c>
      <c r="U16" s="5" t="inlineStr">
        <is>
          <t>Fast drift, low diffusion</t>
        </is>
      </c>
      <c r="V16" s="5" t="inlineStr">
        <is>
          <t>Hole-field attachment; adds F nuclei</t>
        </is>
      </c>
      <c r="W16" s="5" t="n"/>
    </row>
    <row r="17">
      <c r="A17" s="5" t="inlineStr">
        <is>
          <t>B13</t>
        </is>
      </c>
      <c r="B17" s="5" t="inlineStr">
        <is>
          <t>Ar:CF4</t>
        </is>
      </c>
      <c r="C17" s="14" t="inlineStr">
        <is>
          <t>B</t>
        </is>
      </c>
      <c r="D17" s="5" t="inlineStr">
        <is>
          <t>Ar:CF4 90:10</t>
        </is>
      </c>
      <c r="E17" s="7" t="inlineStr">
        <is>
          <t>cf4</t>
        </is>
      </c>
      <c r="F17" s="8" t="n">
        <v>10</v>
      </c>
      <c r="G17" s="7" t="n"/>
      <c r="H17" s="8" t="n"/>
      <c r="I17" s="7" t="n"/>
      <c r="J17" s="8" t="n"/>
      <c r="K17" s="9">
        <f>100-F17-H17-J17</f>
        <v/>
      </c>
      <c r="L17" s="10">
        <f>(K17*INDEX(Components!$D$2:$D$17,MATCH("ar",Components!$A$2:$A$17,0))+IF(E17="",0,F17*INDEX(Components!$D$2:$D$17,MATCH(E17,Components!$A$2:$A$17,0)))+IF(G17="",0,H17*INDEX(Components!$D$2:$D$17,MATCH(G17,Components!$A$2:$A$17,0)))+IF(I17="",0,J17*INDEX(Components!$D$2:$D$17,MATCH(I17,Components!$A$2:$A$17,0))))/100</f>
        <v/>
      </c>
      <c r="M17" s="11">
        <f>K17*INDEX(Components!$D$2:$D$17,MATCH("ar",Components!$A$2:$A$17,0))/(K17*INDEX(Components!$D$2:$D$17,MATCH("ar",Components!$A$2:$A$17,0))+IF(E17="",0,F17*INDEX(Components!$D$2:$D$17,MATCH(E17,Components!$A$2:$A$17,0)))+IF(G17="",0,H17*INDEX(Components!$D$2:$D$17,MATCH(G17,Components!$A$2:$A$17,0)))+IF(I17="",0,J17*INDEX(Components!$D$2:$D$17,MATCH(I17,Components!$A$2:$A$17,0))))</f>
        <v/>
      </c>
      <c r="N17" s="10">
        <f>MIN(15.76,IF(E17="",99,INDEX(Components!$E$2:$E$17,MATCH(E17,Components!$A$2:$A$17,0))),IF(G17="",99,INDEX(Components!$E$2:$E$17,MATCH(G17,Components!$A$2:$A$17,0))),IF(I17="",99,INDEX(Components!$E$2:$E$17,MATCH(I17,Components!$A$2:$A$17,0))))</f>
        <v/>
      </c>
      <c r="O17" s="5">
        <f>IF(N17&lt;11.55,"4s, 4p and higher",IF(N17&lt;12.91,"4p and higher",IF(N17&lt;13.85,"3d/5s and higher",IF(N17&lt;15.76,"high Rydberg only","none"))))</f>
        <v/>
      </c>
      <c r="P17" s="9">
        <f>IF(E17="",0,IF(INDEX(Components!$F$2:$F$17,MATCH(E17,Components!$A$2:$A$17,0))&gt;0,F17,0))+IF(G17="",0,IF(INDEX(Components!$F$2:$F$17,MATCH(G17,Components!$A$2:$A$17,0))&gt;0,H17,0))+IF(I17="",0,IF(INDEX(Components!$F$2:$F$17,MATCH(I17,Components!$A$2:$A$17,0))&gt;0,J17,0))</f>
        <v/>
      </c>
      <c r="Q17" s="5" t="inlineStr">
        <is>
          <t>C, F</t>
        </is>
      </c>
      <c r="R17" s="5" t="inlineStr">
        <is>
          <t>none: bracket r</t>
        </is>
      </c>
      <c r="S17" s="12">
        <f>IF(C17="A",'Run grid'!$B$4,IF(C17="B",'Run grid'!$B$6,'Run grid'!$B$8))</f>
        <v/>
      </c>
      <c r="T17" s="9">
        <f>S17*'Run grid'!$B$22</f>
        <v/>
      </c>
      <c r="U17" s="5" t="inlineStr">
        <is>
          <t>Fast drift, low diffusion</t>
        </is>
      </c>
      <c r="V17" s="5" t="inlineStr">
        <is>
          <t>Hole-field attachment; adds F nuclei</t>
        </is>
      </c>
      <c r="W17" s="5" t="n"/>
    </row>
    <row r="18">
      <c r="A18" s="5" t="inlineStr">
        <is>
          <t>B14</t>
        </is>
      </c>
      <c r="B18" s="5" t="inlineStr">
        <is>
          <t>Ar:C2H6</t>
        </is>
      </c>
      <c r="C18" s="6" t="inlineStr">
        <is>
          <t>C</t>
        </is>
      </c>
      <c r="D18" s="5" t="inlineStr">
        <is>
          <t>Ar:C2H6 98:2</t>
        </is>
      </c>
      <c r="E18" s="7" t="inlineStr">
        <is>
          <t>c2h6</t>
        </is>
      </c>
      <c r="F18" s="8" t="n">
        <v>2</v>
      </c>
      <c r="G18" s="7" t="n"/>
      <c r="H18" s="8" t="n"/>
      <c r="I18" s="7" t="n"/>
      <c r="J18" s="8" t="n"/>
      <c r="K18" s="9">
        <f>100-F18-H18-J18</f>
        <v/>
      </c>
      <c r="L18" s="10">
        <f>(K18*INDEX(Components!$D$2:$D$17,MATCH("ar",Components!$A$2:$A$17,0))+IF(E18="",0,F18*INDEX(Components!$D$2:$D$17,MATCH(E18,Components!$A$2:$A$17,0)))+IF(G18="",0,H18*INDEX(Components!$D$2:$D$17,MATCH(G18,Components!$A$2:$A$17,0)))+IF(I18="",0,J18*INDEX(Components!$D$2:$D$17,MATCH(I18,Components!$A$2:$A$17,0))))/100</f>
        <v/>
      </c>
      <c r="M18" s="11">
        <f>K18*INDEX(Components!$D$2:$D$17,MATCH("ar",Components!$A$2:$A$17,0))/(K18*INDEX(Components!$D$2:$D$17,MATCH("ar",Components!$A$2:$A$17,0))+IF(E18="",0,F18*INDEX(Components!$D$2:$D$17,MATCH(E18,Components!$A$2:$A$17,0)))+IF(G18="",0,H18*INDEX(Components!$D$2:$D$17,MATCH(G18,Components!$A$2:$A$17,0)))+IF(I18="",0,J18*INDEX(Components!$D$2:$D$17,MATCH(I18,Components!$A$2:$A$17,0))))</f>
        <v/>
      </c>
      <c r="N18" s="10">
        <f>MIN(15.76,IF(E18="",99,INDEX(Components!$E$2:$E$17,MATCH(E18,Components!$A$2:$A$17,0))),IF(G18="",99,INDEX(Components!$E$2:$E$17,MATCH(G18,Components!$A$2:$A$17,0))),IF(I18="",99,INDEX(Components!$E$2:$E$17,MATCH(I18,Components!$A$2:$A$17,0))))</f>
        <v/>
      </c>
      <c r="O18" s="5">
        <f>IF(N18&lt;11.55,"4s, 4p and higher",IF(N18&lt;12.91,"4p and higher",IF(N18&lt;13.85,"3d/5s and higher",IF(N18&lt;15.76,"high Rydberg only","none"))))</f>
        <v/>
      </c>
      <c r="P18" s="9">
        <f>IF(E18="",0,IF(INDEX(Components!$F$2:$F$17,MATCH(E18,Components!$A$2:$A$17,0))&gt;0,F18,0))+IF(G18="",0,IF(INDEX(Components!$F$2:$F$17,MATCH(G18,Components!$A$2:$A$17,0))&gt;0,H18,0))+IF(I18="",0,IF(INDEX(Components!$F$2:$F$17,MATCH(I18,Components!$A$2:$A$17,0))&gt;0,J18,0))</f>
        <v/>
      </c>
      <c r="Q18" s="5" t="inlineStr">
        <is>
          <t>H, C</t>
        </is>
      </c>
      <c r="R18" s="5" t="inlineStr">
        <is>
          <t>auto: 0.31 (10 %, 1 atm only)</t>
        </is>
      </c>
      <c r="S18" s="12">
        <f>IF(C18="A",'Run grid'!$B$4,IF(C18="B",'Run grid'!$B$6,'Run grid'!$B$8))</f>
        <v/>
      </c>
      <c r="T18" s="9">
        <f>S18*'Run grid'!$B$22</f>
        <v/>
      </c>
      <c r="U18" s="5" t="inlineStr">
        <is>
          <t>Better UV quencher than CH4</t>
        </is>
      </c>
      <c r="V18" s="5" t="inlineStr">
        <is>
          <t>Flammable</t>
        </is>
      </c>
      <c r="W18" s="5" t="n"/>
    </row>
    <row r="19">
      <c r="A19" s="5" t="inlineStr">
        <is>
          <t>B15</t>
        </is>
      </c>
      <c r="B19" s="5" t="inlineStr">
        <is>
          <t>Ar:C2H6</t>
        </is>
      </c>
      <c r="C19" s="14" t="inlineStr">
        <is>
          <t>B</t>
        </is>
      </c>
      <c r="D19" s="5" t="inlineStr">
        <is>
          <t>Ar:C2H6 95:5</t>
        </is>
      </c>
      <c r="E19" s="7" t="inlineStr">
        <is>
          <t>c2h6</t>
        </is>
      </c>
      <c r="F19" s="8" t="n">
        <v>5</v>
      </c>
      <c r="G19" s="7" t="n"/>
      <c r="H19" s="8" t="n"/>
      <c r="I19" s="7" t="n"/>
      <c r="J19" s="8" t="n"/>
      <c r="K19" s="9">
        <f>100-F19-H19-J19</f>
        <v/>
      </c>
      <c r="L19" s="10">
        <f>(K19*INDEX(Components!$D$2:$D$17,MATCH("ar",Components!$A$2:$A$17,0))+IF(E19="",0,F19*INDEX(Components!$D$2:$D$17,MATCH(E19,Components!$A$2:$A$17,0)))+IF(G19="",0,H19*INDEX(Components!$D$2:$D$17,MATCH(G19,Components!$A$2:$A$17,0)))+IF(I19="",0,J19*INDEX(Components!$D$2:$D$17,MATCH(I19,Components!$A$2:$A$17,0))))/100</f>
        <v/>
      </c>
      <c r="M19" s="11">
        <f>K19*INDEX(Components!$D$2:$D$17,MATCH("ar",Components!$A$2:$A$17,0))/(K19*INDEX(Components!$D$2:$D$17,MATCH("ar",Components!$A$2:$A$17,0))+IF(E19="",0,F19*INDEX(Components!$D$2:$D$17,MATCH(E19,Components!$A$2:$A$17,0)))+IF(G19="",0,H19*INDEX(Components!$D$2:$D$17,MATCH(G19,Components!$A$2:$A$17,0)))+IF(I19="",0,J19*INDEX(Components!$D$2:$D$17,MATCH(I19,Components!$A$2:$A$17,0))))</f>
        <v/>
      </c>
      <c r="N19" s="10">
        <f>MIN(15.76,IF(E19="",99,INDEX(Components!$E$2:$E$17,MATCH(E19,Components!$A$2:$A$17,0))),IF(G19="",99,INDEX(Components!$E$2:$E$17,MATCH(G19,Components!$A$2:$A$17,0))),IF(I19="",99,INDEX(Components!$E$2:$E$17,MATCH(I19,Components!$A$2:$A$17,0))))</f>
        <v/>
      </c>
      <c r="O19" s="5">
        <f>IF(N19&lt;11.55,"4s, 4p and higher",IF(N19&lt;12.91,"4p and higher",IF(N19&lt;13.85,"3d/5s and higher",IF(N19&lt;15.76,"high Rydberg only","none"))))</f>
        <v/>
      </c>
      <c r="P19" s="9">
        <f>IF(E19="",0,IF(INDEX(Components!$F$2:$F$17,MATCH(E19,Components!$A$2:$A$17,0))&gt;0,F19,0))+IF(G19="",0,IF(INDEX(Components!$F$2:$F$17,MATCH(G19,Components!$A$2:$A$17,0))&gt;0,H19,0))+IF(I19="",0,IF(INDEX(Components!$F$2:$F$17,MATCH(I19,Components!$A$2:$A$17,0))&gt;0,J19,0))</f>
        <v/>
      </c>
      <c r="Q19" s="5" t="inlineStr">
        <is>
          <t>H, C</t>
        </is>
      </c>
      <c r="R19" s="5" t="inlineStr">
        <is>
          <t>auto: 0.31 (10 %, 1 atm only)</t>
        </is>
      </c>
      <c r="S19" s="12">
        <f>IF(C19="A",'Run grid'!$B$4,IF(C19="B",'Run grid'!$B$6,'Run grid'!$B$8))</f>
        <v/>
      </c>
      <c r="T19" s="9">
        <f>S19*'Run grid'!$B$22</f>
        <v/>
      </c>
      <c r="U19" s="5" t="inlineStr">
        <is>
          <t>Better UV quencher than CH4; Penning from Ar 4s marginal</t>
        </is>
      </c>
      <c r="V19" s="5" t="inlineStr">
        <is>
          <t>Flammable</t>
        </is>
      </c>
      <c r="W19" s="5" t="n"/>
    </row>
    <row r="20">
      <c r="A20" s="5" t="inlineStr">
        <is>
          <t>B16</t>
        </is>
      </c>
      <c r="B20" s="5" t="inlineStr">
        <is>
          <t>Ar:C2H6</t>
        </is>
      </c>
      <c r="C20" s="6" t="inlineStr">
        <is>
          <t>C</t>
        </is>
      </c>
      <c r="D20" s="5" t="inlineStr">
        <is>
          <t>Ar:C2H6 90:10</t>
        </is>
      </c>
      <c r="E20" s="7" t="inlineStr">
        <is>
          <t>c2h6</t>
        </is>
      </c>
      <c r="F20" s="8" t="n">
        <v>10</v>
      </c>
      <c r="G20" s="7" t="n"/>
      <c r="H20" s="8" t="n"/>
      <c r="I20" s="7" t="n"/>
      <c r="J20" s="8" t="n"/>
      <c r="K20" s="9">
        <f>100-F20-H20-J20</f>
        <v/>
      </c>
      <c r="L20" s="10">
        <f>(K20*INDEX(Components!$D$2:$D$17,MATCH("ar",Components!$A$2:$A$17,0))+IF(E20="",0,F20*INDEX(Components!$D$2:$D$17,MATCH(E20,Components!$A$2:$A$17,0)))+IF(G20="",0,H20*INDEX(Components!$D$2:$D$17,MATCH(G20,Components!$A$2:$A$17,0)))+IF(I20="",0,J20*INDEX(Components!$D$2:$D$17,MATCH(I20,Components!$A$2:$A$17,0))))/100</f>
        <v/>
      </c>
      <c r="M20" s="11">
        <f>K20*INDEX(Components!$D$2:$D$17,MATCH("ar",Components!$A$2:$A$17,0))/(K20*INDEX(Components!$D$2:$D$17,MATCH("ar",Components!$A$2:$A$17,0))+IF(E20="",0,F20*INDEX(Components!$D$2:$D$17,MATCH(E20,Components!$A$2:$A$17,0)))+IF(G20="",0,H20*INDEX(Components!$D$2:$D$17,MATCH(G20,Components!$A$2:$A$17,0)))+IF(I20="",0,J20*INDEX(Components!$D$2:$D$17,MATCH(I20,Components!$A$2:$A$17,0))))</f>
        <v/>
      </c>
      <c r="N20" s="10">
        <f>MIN(15.76,IF(E20="",99,INDEX(Components!$E$2:$E$17,MATCH(E20,Components!$A$2:$A$17,0))),IF(G20="",99,INDEX(Components!$E$2:$E$17,MATCH(G20,Components!$A$2:$A$17,0))),IF(I20="",99,INDEX(Components!$E$2:$E$17,MATCH(I20,Components!$A$2:$A$17,0))))</f>
        <v/>
      </c>
      <c r="O20" s="5">
        <f>IF(N20&lt;11.55,"4s, 4p and higher",IF(N20&lt;12.91,"4p and higher",IF(N20&lt;13.85,"3d/5s and higher",IF(N20&lt;15.76,"high Rydberg only","none"))))</f>
        <v/>
      </c>
      <c r="P20" s="9">
        <f>IF(E20="",0,IF(INDEX(Components!$F$2:$F$17,MATCH(E20,Components!$A$2:$A$17,0))&gt;0,F20,0))+IF(G20="",0,IF(INDEX(Components!$F$2:$F$17,MATCH(G20,Components!$A$2:$A$17,0))&gt;0,H20,0))+IF(I20="",0,IF(INDEX(Components!$F$2:$F$17,MATCH(I20,Components!$A$2:$A$17,0))&gt;0,J20,0))</f>
        <v/>
      </c>
      <c r="Q20" s="5" t="inlineStr">
        <is>
          <t>H, C</t>
        </is>
      </c>
      <c r="R20" s="5" t="inlineStr">
        <is>
          <t>auto: 0.31 (10 %, 1 atm only)</t>
        </is>
      </c>
      <c r="S20" s="12">
        <f>IF(C20="A",'Run grid'!$B$4,IF(C20="B",'Run grid'!$B$6,'Run grid'!$B$8))</f>
        <v/>
      </c>
      <c r="T20" s="9">
        <f>S20*'Run grid'!$B$22</f>
        <v/>
      </c>
      <c r="U20" s="5" t="inlineStr">
        <is>
          <t>Only point with a published r (0.31, 1 atm)</t>
        </is>
      </c>
      <c r="V20" s="5" t="inlineStr">
        <is>
          <t>Flammable</t>
        </is>
      </c>
      <c r="W20" s="5" t="inlineStr">
        <is>
          <t>Sahin 2010 (r at 1 atm)</t>
        </is>
      </c>
    </row>
    <row r="21">
      <c r="A21" s="5" t="inlineStr">
        <is>
          <t>B17</t>
        </is>
      </c>
      <c r="B21" s="5" t="inlineStr">
        <is>
          <t>Ar:C3H8</t>
        </is>
      </c>
      <c r="C21" s="6" t="inlineStr">
        <is>
          <t>C</t>
        </is>
      </c>
      <c r="D21" s="5" t="inlineStr">
        <is>
          <t>Ar:C3H8 98:2</t>
        </is>
      </c>
      <c r="E21" s="7" t="inlineStr">
        <is>
          <t>c3h8</t>
        </is>
      </c>
      <c r="F21" s="8" t="n">
        <v>2</v>
      </c>
      <c r="G21" s="7" t="n"/>
      <c r="H21" s="8" t="n"/>
      <c r="I21" s="7" t="n"/>
      <c r="J21" s="8" t="n"/>
      <c r="K21" s="9">
        <f>100-F21-H21-J21</f>
        <v/>
      </c>
      <c r="L21" s="10">
        <f>(K21*INDEX(Components!$D$2:$D$17,MATCH("ar",Components!$A$2:$A$17,0))+IF(E21="",0,F21*INDEX(Components!$D$2:$D$17,MATCH(E21,Components!$A$2:$A$17,0)))+IF(G21="",0,H21*INDEX(Components!$D$2:$D$17,MATCH(G21,Components!$A$2:$A$17,0)))+IF(I21="",0,J21*INDEX(Components!$D$2:$D$17,MATCH(I21,Components!$A$2:$A$17,0))))/100</f>
        <v/>
      </c>
      <c r="M21" s="11">
        <f>K21*INDEX(Components!$D$2:$D$17,MATCH("ar",Components!$A$2:$A$17,0))/(K21*INDEX(Components!$D$2:$D$17,MATCH("ar",Components!$A$2:$A$17,0))+IF(E21="",0,F21*INDEX(Components!$D$2:$D$17,MATCH(E21,Components!$A$2:$A$17,0)))+IF(G21="",0,H21*INDEX(Components!$D$2:$D$17,MATCH(G21,Components!$A$2:$A$17,0)))+IF(I21="",0,J21*INDEX(Components!$D$2:$D$17,MATCH(I21,Components!$A$2:$A$17,0))))</f>
        <v/>
      </c>
      <c r="N21" s="10">
        <f>MIN(15.76,IF(E21="",99,INDEX(Components!$E$2:$E$17,MATCH(E21,Components!$A$2:$A$17,0))),IF(G21="",99,INDEX(Components!$E$2:$E$17,MATCH(G21,Components!$A$2:$A$17,0))),IF(I21="",99,INDEX(Components!$E$2:$E$17,MATCH(I21,Components!$A$2:$A$17,0))))</f>
        <v/>
      </c>
      <c r="O21" s="5">
        <f>IF(N21&lt;11.55,"4s, 4p and higher",IF(N21&lt;12.91,"4p and higher",IF(N21&lt;13.85,"3d/5s and higher",IF(N21&lt;15.76,"high Rydberg only","none"))))</f>
        <v/>
      </c>
      <c r="P21" s="9">
        <f>IF(E21="",0,IF(INDEX(Components!$F$2:$F$17,MATCH(E21,Components!$A$2:$A$17,0))&gt;0,F21,0))+IF(G21="",0,IF(INDEX(Components!$F$2:$F$17,MATCH(G21,Components!$A$2:$A$17,0))&gt;0,H21,0))+IF(I21="",0,IF(INDEX(Components!$F$2:$F$17,MATCH(I21,Components!$A$2:$A$17,0))&gt;0,J21,0))</f>
        <v/>
      </c>
      <c r="Q21" s="5" t="inlineStr">
        <is>
          <t>H, C</t>
        </is>
      </c>
      <c r="R21" s="5" t="inlineStr">
        <is>
          <t>auto: c-dependent (1 atm only)</t>
        </is>
      </c>
      <c r="S21" s="12">
        <f>IF(C21="A",'Run grid'!$B$4,IF(C21="B",'Run grid'!$B$6,'Run grid'!$B$8))</f>
        <v/>
      </c>
      <c r="T21" s="9">
        <f>S21*'Run grid'!$B$22</f>
        <v/>
      </c>
      <c r="U21" s="5" t="inlineStr">
        <is>
          <t>Penning donor (IP 10.9 eV)</t>
        </is>
      </c>
      <c r="V21" s="5" t="inlineStr">
        <is>
          <t>Flammable</t>
        </is>
      </c>
      <c r="W21" s="5" t="inlineStr">
        <is>
          <t>Sahin 2010 (r at 1 atm)</t>
        </is>
      </c>
    </row>
    <row r="22">
      <c r="A22" s="5" t="inlineStr">
        <is>
          <t>B18</t>
        </is>
      </c>
      <c r="B22" s="5" t="inlineStr">
        <is>
          <t>Ar:C3H8</t>
        </is>
      </c>
      <c r="C22" s="6" t="inlineStr">
        <is>
          <t>C</t>
        </is>
      </c>
      <c r="D22" s="5" t="inlineStr">
        <is>
          <t>Ar:C3H8 95:5</t>
        </is>
      </c>
      <c r="E22" s="7" t="inlineStr">
        <is>
          <t>c3h8</t>
        </is>
      </c>
      <c r="F22" s="8" t="n">
        <v>5</v>
      </c>
      <c r="G22" s="7" t="n"/>
      <c r="H22" s="8" t="n"/>
      <c r="I22" s="7" t="n"/>
      <c r="J22" s="8" t="n"/>
      <c r="K22" s="9">
        <f>100-F22-H22-J22</f>
        <v/>
      </c>
      <c r="L22" s="10">
        <f>(K22*INDEX(Components!$D$2:$D$17,MATCH("ar",Components!$A$2:$A$17,0))+IF(E22="",0,F22*INDEX(Components!$D$2:$D$17,MATCH(E22,Components!$A$2:$A$17,0)))+IF(G22="",0,H22*INDEX(Components!$D$2:$D$17,MATCH(G22,Components!$A$2:$A$17,0)))+IF(I22="",0,J22*INDEX(Components!$D$2:$D$17,MATCH(I22,Components!$A$2:$A$17,0))))/100</f>
        <v/>
      </c>
      <c r="M22" s="11">
        <f>K22*INDEX(Components!$D$2:$D$17,MATCH("ar",Components!$A$2:$A$17,0))/(K22*INDEX(Components!$D$2:$D$17,MATCH("ar",Components!$A$2:$A$17,0))+IF(E22="",0,F22*INDEX(Components!$D$2:$D$17,MATCH(E22,Components!$A$2:$A$17,0)))+IF(G22="",0,H22*INDEX(Components!$D$2:$D$17,MATCH(G22,Components!$A$2:$A$17,0)))+IF(I22="",0,J22*INDEX(Components!$D$2:$D$17,MATCH(I22,Components!$A$2:$A$17,0))))</f>
        <v/>
      </c>
      <c r="N22" s="10">
        <f>MIN(15.76,IF(E22="",99,INDEX(Components!$E$2:$E$17,MATCH(E22,Components!$A$2:$A$17,0))),IF(G22="",99,INDEX(Components!$E$2:$E$17,MATCH(G22,Components!$A$2:$A$17,0))),IF(I22="",99,INDEX(Components!$E$2:$E$17,MATCH(I22,Components!$A$2:$A$17,0))))</f>
        <v/>
      </c>
      <c r="O22" s="5">
        <f>IF(N22&lt;11.55,"4s, 4p and higher",IF(N22&lt;12.91,"4p and higher",IF(N22&lt;13.85,"3d/5s and higher",IF(N22&lt;15.76,"high Rydberg only","none"))))</f>
        <v/>
      </c>
      <c r="P22" s="9">
        <f>IF(E22="",0,IF(INDEX(Components!$F$2:$F$17,MATCH(E22,Components!$A$2:$A$17,0))&gt;0,F22,0))+IF(G22="",0,IF(INDEX(Components!$F$2:$F$17,MATCH(G22,Components!$A$2:$A$17,0))&gt;0,H22,0))+IF(I22="",0,IF(INDEX(Components!$F$2:$F$17,MATCH(I22,Components!$A$2:$A$17,0))&gt;0,J22,0))</f>
        <v/>
      </c>
      <c r="Q22" s="5" t="inlineStr">
        <is>
          <t>H, C</t>
        </is>
      </c>
      <c r="R22" s="5" t="inlineStr">
        <is>
          <t>auto: c-dependent (1 atm only)</t>
        </is>
      </c>
      <c r="S22" s="12">
        <f>IF(C22="A",'Run grid'!$B$4,IF(C22="B",'Run grid'!$B$6,'Run grid'!$B$8))</f>
        <v/>
      </c>
      <c r="T22" s="9">
        <f>S22*'Run grid'!$B$22</f>
        <v/>
      </c>
      <c r="U22" s="5" t="inlineStr">
        <is>
          <t>Penning donor (IP 10.9 eV)</t>
        </is>
      </c>
      <c r="V22" s="5" t="inlineStr">
        <is>
          <t>Flammable</t>
        </is>
      </c>
      <c r="W22" s="5" t="n"/>
    </row>
    <row r="23">
      <c r="A23" s="5" t="inlineStr">
        <is>
          <t>B19</t>
        </is>
      </c>
      <c r="B23" s="5" t="inlineStr">
        <is>
          <t>Ar:iC4H10</t>
        </is>
      </c>
      <c r="C23" s="14" t="inlineStr">
        <is>
          <t>B</t>
        </is>
      </c>
      <c r="D23" s="5" t="inlineStr">
        <is>
          <t>Ar:iC4H10 99:1</t>
        </is>
      </c>
      <c r="E23" s="7" t="inlineStr">
        <is>
          <t>ic4h10</t>
        </is>
      </c>
      <c r="F23" s="8" t="n">
        <v>1</v>
      </c>
      <c r="G23" s="7" t="n"/>
      <c r="H23" s="8" t="n"/>
      <c r="I23" s="7" t="n"/>
      <c r="J23" s="8" t="n"/>
      <c r="K23" s="9">
        <f>100-F23-H23-J23</f>
        <v/>
      </c>
      <c r="L23" s="10">
        <f>(K23*INDEX(Components!$D$2:$D$17,MATCH("ar",Components!$A$2:$A$17,0))+IF(E23="",0,F23*INDEX(Components!$D$2:$D$17,MATCH(E23,Components!$A$2:$A$17,0)))+IF(G23="",0,H23*INDEX(Components!$D$2:$D$17,MATCH(G23,Components!$A$2:$A$17,0)))+IF(I23="",0,J23*INDEX(Components!$D$2:$D$17,MATCH(I23,Components!$A$2:$A$17,0))))/100</f>
        <v/>
      </c>
      <c r="M23" s="11">
        <f>K23*INDEX(Components!$D$2:$D$17,MATCH("ar",Components!$A$2:$A$17,0))/(K23*INDEX(Components!$D$2:$D$17,MATCH("ar",Components!$A$2:$A$17,0))+IF(E23="",0,F23*INDEX(Components!$D$2:$D$17,MATCH(E23,Components!$A$2:$A$17,0)))+IF(G23="",0,H23*INDEX(Components!$D$2:$D$17,MATCH(G23,Components!$A$2:$A$17,0)))+IF(I23="",0,J23*INDEX(Components!$D$2:$D$17,MATCH(I23,Components!$A$2:$A$17,0))))</f>
        <v/>
      </c>
      <c r="N23" s="10">
        <f>MIN(15.76,IF(E23="",99,INDEX(Components!$E$2:$E$17,MATCH(E23,Components!$A$2:$A$17,0))),IF(G23="",99,INDEX(Components!$E$2:$E$17,MATCH(G23,Components!$A$2:$A$17,0))),IF(I23="",99,INDEX(Components!$E$2:$E$17,MATCH(I23,Components!$A$2:$A$17,0))))</f>
        <v/>
      </c>
      <c r="O23" s="5">
        <f>IF(N23&lt;11.55,"4s, 4p and higher",IF(N23&lt;12.91,"4p and higher",IF(N23&lt;13.85,"3d/5s and higher",IF(N23&lt;15.76,"high Rydberg only","none"))))</f>
        <v/>
      </c>
      <c r="P23" s="9">
        <f>IF(E23="",0,IF(INDEX(Components!$F$2:$F$17,MATCH(E23,Components!$A$2:$A$17,0))&gt;0,F23,0))+IF(G23="",0,IF(INDEX(Components!$F$2:$F$17,MATCH(G23,Components!$A$2:$A$17,0))&gt;0,H23,0))+IF(I23="",0,IF(INDEX(Components!$F$2:$F$17,MATCH(I23,Components!$A$2:$A$17,0))&gt;0,J23,0))</f>
        <v/>
      </c>
      <c r="Q23" s="5" t="inlineStr">
        <is>
          <t>H, C</t>
        </is>
      </c>
      <c r="R23" s="5" t="inlineStr">
        <is>
          <t>auto: 0.40 (10 %, 1 atm only)</t>
        </is>
      </c>
      <c r="S23" s="12">
        <f>IF(C23="A",'Run grid'!$B$4,IF(C23="B",'Run grid'!$B$6,'Run grid'!$B$8))</f>
        <v/>
      </c>
      <c r="T23" s="9">
        <f>S23*'Run grid'!$B$22</f>
        <v/>
      </c>
      <c r="U23" s="5" t="inlineStr">
        <is>
          <t>Donor alone, lowest fraction</t>
        </is>
      </c>
      <c r="V23" s="5" t="inlineStr">
        <is>
          <t>Flammable</t>
        </is>
      </c>
      <c r="W23" s="5" t="n"/>
    </row>
    <row r="24">
      <c r="A24" s="5" t="inlineStr">
        <is>
          <t>B20</t>
        </is>
      </c>
      <c r="B24" s="5" t="inlineStr">
        <is>
          <t>Ar:iC4H10</t>
        </is>
      </c>
      <c r="C24" s="13" t="inlineStr">
        <is>
          <t>A</t>
        </is>
      </c>
      <c r="D24" s="5" t="inlineStr">
        <is>
          <t>Ar:iC4H10 98:2</t>
        </is>
      </c>
      <c r="E24" s="7" t="inlineStr">
        <is>
          <t>ic4h10</t>
        </is>
      </c>
      <c r="F24" s="8" t="n">
        <v>2</v>
      </c>
      <c r="G24" s="7" t="n"/>
      <c r="H24" s="8" t="n"/>
      <c r="I24" s="7" t="n"/>
      <c r="J24" s="8" t="n"/>
      <c r="K24" s="9">
        <f>100-F24-H24-J24</f>
        <v/>
      </c>
      <c r="L24" s="10">
        <f>(K24*INDEX(Components!$D$2:$D$17,MATCH("ar",Components!$A$2:$A$17,0))+IF(E24="",0,F24*INDEX(Components!$D$2:$D$17,MATCH(E24,Components!$A$2:$A$17,0)))+IF(G24="",0,H24*INDEX(Components!$D$2:$D$17,MATCH(G24,Components!$A$2:$A$17,0)))+IF(I24="",0,J24*INDEX(Components!$D$2:$D$17,MATCH(I24,Components!$A$2:$A$17,0))))/100</f>
        <v/>
      </c>
      <c r="M24" s="11">
        <f>K24*INDEX(Components!$D$2:$D$17,MATCH("ar",Components!$A$2:$A$17,0))/(K24*INDEX(Components!$D$2:$D$17,MATCH("ar",Components!$A$2:$A$17,0))+IF(E24="",0,F24*INDEX(Components!$D$2:$D$17,MATCH(E24,Components!$A$2:$A$17,0)))+IF(G24="",0,H24*INDEX(Components!$D$2:$D$17,MATCH(G24,Components!$A$2:$A$17,0)))+IF(I24="",0,J24*INDEX(Components!$D$2:$D$17,MATCH(I24,Components!$A$2:$A$17,0))))</f>
        <v/>
      </c>
      <c r="N24" s="10">
        <f>MIN(15.76,IF(E24="",99,INDEX(Components!$E$2:$E$17,MATCH(E24,Components!$A$2:$A$17,0))),IF(G24="",99,INDEX(Components!$E$2:$E$17,MATCH(G24,Components!$A$2:$A$17,0))),IF(I24="",99,INDEX(Components!$E$2:$E$17,MATCH(I24,Components!$A$2:$A$17,0))))</f>
        <v/>
      </c>
      <c r="O24" s="5">
        <f>IF(N24&lt;11.55,"4s, 4p and higher",IF(N24&lt;12.91,"4p and higher",IF(N24&lt;13.85,"3d/5s and higher",IF(N24&lt;15.76,"high Rydberg only","none"))))</f>
        <v/>
      </c>
      <c r="P24" s="9">
        <f>IF(E24="",0,IF(INDEX(Components!$F$2:$F$17,MATCH(E24,Components!$A$2:$A$17,0))&gt;0,F24,0))+IF(G24="",0,IF(INDEX(Components!$F$2:$F$17,MATCH(G24,Components!$A$2:$A$17,0))&gt;0,H24,0))+IF(I24="",0,IF(INDEX(Components!$F$2:$F$17,MATCH(I24,Components!$A$2:$A$17,0))&gt;0,J24,0))</f>
        <v/>
      </c>
      <c r="Q24" s="5" t="inlineStr">
        <is>
          <t>H, C</t>
        </is>
      </c>
      <c r="R24" s="5" t="inlineStr">
        <is>
          <t>auto: 0.40 (10 %, 1 atm only)</t>
        </is>
      </c>
      <c r="S24" s="12">
        <f>IF(C24="A",'Run grid'!$B$4,IF(C24="B",'Run grid'!$B$6,'Run grid'!$B$8))</f>
        <v/>
      </c>
      <c r="T24" s="9">
        <f>S24*'Run grid'!$B$22</f>
        <v/>
      </c>
      <c r="U24" s="5" t="inlineStr">
        <is>
          <t>Donor alone; same isobutane as T2K gas</t>
        </is>
      </c>
      <c r="V24" s="5" t="inlineStr">
        <is>
          <t>Flammable</t>
        </is>
      </c>
      <c r="W24" s="5" t="n"/>
    </row>
    <row r="25">
      <c r="A25" s="5" t="inlineStr">
        <is>
          <t>B21</t>
        </is>
      </c>
      <c r="B25" s="5" t="inlineStr">
        <is>
          <t>Ar:iC4H10</t>
        </is>
      </c>
      <c r="C25" s="14" t="inlineStr">
        <is>
          <t>B</t>
        </is>
      </c>
      <c r="D25" s="5" t="inlineStr">
        <is>
          <t>Ar:iC4H10 97:3</t>
        </is>
      </c>
      <c r="E25" s="7" t="inlineStr">
        <is>
          <t>ic4h10</t>
        </is>
      </c>
      <c r="F25" s="8" t="n">
        <v>3</v>
      </c>
      <c r="G25" s="7" t="n"/>
      <c r="H25" s="8" t="n"/>
      <c r="I25" s="7" t="n"/>
      <c r="J25" s="8" t="n"/>
      <c r="K25" s="9">
        <f>100-F25-H25-J25</f>
        <v/>
      </c>
      <c r="L25" s="10">
        <f>(K25*INDEX(Components!$D$2:$D$17,MATCH("ar",Components!$A$2:$A$17,0))+IF(E25="",0,F25*INDEX(Components!$D$2:$D$17,MATCH(E25,Components!$A$2:$A$17,0)))+IF(G25="",0,H25*INDEX(Components!$D$2:$D$17,MATCH(G25,Components!$A$2:$A$17,0)))+IF(I25="",0,J25*INDEX(Components!$D$2:$D$17,MATCH(I25,Components!$A$2:$A$17,0))))/100</f>
        <v/>
      </c>
      <c r="M25" s="11">
        <f>K25*INDEX(Components!$D$2:$D$17,MATCH("ar",Components!$A$2:$A$17,0))/(K25*INDEX(Components!$D$2:$D$17,MATCH("ar",Components!$A$2:$A$17,0))+IF(E25="",0,F25*INDEX(Components!$D$2:$D$17,MATCH(E25,Components!$A$2:$A$17,0)))+IF(G25="",0,H25*INDEX(Components!$D$2:$D$17,MATCH(G25,Components!$A$2:$A$17,0)))+IF(I25="",0,J25*INDEX(Components!$D$2:$D$17,MATCH(I25,Components!$A$2:$A$17,0))))</f>
        <v/>
      </c>
      <c r="N25" s="10">
        <f>MIN(15.76,IF(E25="",99,INDEX(Components!$E$2:$E$17,MATCH(E25,Components!$A$2:$A$17,0))),IF(G25="",99,INDEX(Components!$E$2:$E$17,MATCH(G25,Components!$A$2:$A$17,0))),IF(I25="",99,INDEX(Components!$E$2:$E$17,MATCH(I25,Components!$A$2:$A$17,0))))</f>
        <v/>
      </c>
      <c r="O25" s="5">
        <f>IF(N25&lt;11.55,"4s, 4p and higher",IF(N25&lt;12.91,"4p and higher",IF(N25&lt;13.85,"3d/5s and higher",IF(N25&lt;15.76,"high Rydberg only","none"))))</f>
        <v/>
      </c>
      <c r="P25" s="9">
        <f>IF(E25="",0,IF(INDEX(Components!$F$2:$F$17,MATCH(E25,Components!$A$2:$A$17,0))&gt;0,F25,0))+IF(G25="",0,IF(INDEX(Components!$F$2:$F$17,MATCH(G25,Components!$A$2:$A$17,0))&gt;0,H25,0))+IF(I25="",0,IF(INDEX(Components!$F$2:$F$17,MATCH(I25,Components!$A$2:$A$17,0))&gt;0,J25,0))</f>
        <v/>
      </c>
      <c r="Q25" s="5" t="inlineStr">
        <is>
          <t>H, C</t>
        </is>
      </c>
      <c r="R25" s="5" t="inlineStr">
        <is>
          <t>auto: 0.40 (10 %, 1 atm only)</t>
        </is>
      </c>
      <c r="S25" s="12">
        <f>IF(C25="A",'Run grid'!$B$4,IF(C25="B",'Run grid'!$B$6,'Run grid'!$B$8))</f>
        <v/>
      </c>
      <c r="T25" s="9">
        <f>S25*'Run grid'!$B$22</f>
        <v/>
      </c>
      <c r="U25" s="5" t="inlineStr">
        <is>
          <t>Donor alone</t>
        </is>
      </c>
      <c r="V25" s="5" t="inlineStr">
        <is>
          <t>Flammable</t>
        </is>
      </c>
      <c r="W25" s="5" t="n"/>
    </row>
    <row r="26">
      <c r="A26" s="5" t="inlineStr">
        <is>
          <t>B22</t>
        </is>
      </c>
      <c r="B26" s="5" t="inlineStr">
        <is>
          <t>Ar:iC4H10</t>
        </is>
      </c>
      <c r="C26" s="6" t="inlineStr">
        <is>
          <t>C</t>
        </is>
      </c>
      <c r="D26" s="5" t="inlineStr">
        <is>
          <t>Ar:iC4H10 95:5</t>
        </is>
      </c>
      <c r="E26" s="7" t="inlineStr">
        <is>
          <t>ic4h10</t>
        </is>
      </c>
      <c r="F26" s="8" t="n">
        <v>5</v>
      </c>
      <c r="G26" s="7" t="n"/>
      <c r="H26" s="8" t="n"/>
      <c r="I26" s="7" t="n"/>
      <c r="J26" s="8" t="n"/>
      <c r="K26" s="9">
        <f>100-F26-H26-J26</f>
        <v/>
      </c>
      <c r="L26" s="10">
        <f>(K26*INDEX(Components!$D$2:$D$17,MATCH("ar",Components!$A$2:$A$17,0))+IF(E26="",0,F26*INDEX(Components!$D$2:$D$17,MATCH(E26,Components!$A$2:$A$17,0)))+IF(G26="",0,H26*INDEX(Components!$D$2:$D$17,MATCH(G26,Components!$A$2:$A$17,0)))+IF(I26="",0,J26*INDEX(Components!$D$2:$D$17,MATCH(I26,Components!$A$2:$A$17,0))))/100</f>
        <v/>
      </c>
      <c r="M26" s="11">
        <f>K26*INDEX(Components!$D$2:$D$17,MATCH("ar",Components!$A$2:$A$17,0))/(K26*INDEX(Components!$D$2:$D$17,MATCH("ar",Components!$A$2:$A$17,0))+IF(E26="",0,F26*INDEX(Components!$D$2:$D$17,MATCH(E26,Components!$A$2:$A$17,0)))+IF(G26="",0,H26*INDEX(Components!$D$2:$D$17,MATCH(G26,Components!$A$2:$A$17,0)))+IF(I26="",0,J26*INDEX(Components!$D$2:$D$17,MATCH(I26,Components!$A$2:$A$17,0))))</f>
        <v/>
      </c>
      <c r="N26" s="10">
        <f>MIN(15.76,IF(E26="",99,INDEX(Components!$E$2:$E$17,MATCH(E26,Components!$A$2:$A$17,0))),IF(G26="",99,INDEX(Components!$E$2:$E$17,MATCH(G26,Components!$A$2:$A$17,0))),IF(I26="",99,INDEX(Components!$E$2:$E$17,MATCH(I26,Components!$A$2:$A$17,0))))</f>
        <v/>
      </c>
      <c r="O26" s="5">
        <f>IF(N26&lt;11.55,"4s, 4p and higher",IF(N26&lt;12.91,"4p and higher",IF(N26&lt;13.85,"3d/5s and higher",IF(N26&lt;15.76,"high Rydberg only","none"))))</f>
        <v/>
      </c>
      <c r="P26" s="9">
        <f>IF(E26="",0,IF(INDEX(Components!$F$2:$F$17,MATCH(E26,Components!$A$2:$A$17,0))&gt;0,F26,0))+IF(G26="",0,IF(INDEX(Components!$F$2:$F$17,MATCH(G26,Components!$A$2:$A$17,0))&gt;0,H26,0))+IF(I26="",0,IF(INDEX(Components!$F$2:$F$17,MATCH(I26,Components!$A$2:$A$17,0))&gt;0,J26,0))</f>
        <v/>
      </c>
      <c r="Q26" s="5" t="inlineStr">
        <is>
          <t>H, C</t>
        </is>
      </c>
      <c r="R26" s="5" t="inlineStr">
        <is>
          <t>auto: 0.40 (10 %, 1 atm only)</t>
        </is>
      </c>
      <c r="S26" s="12">
        <f>IF(C26="A",'Run grid'!$B$4,IF(C26="B",'Run grid'!$B$6,'Run grid'!$B$8))</f>
        <v/>
      </c>
      <c r="T26" s="9">
        <f>S26*'Run grid'!$B$22</f>
        <v/>
      </c>
      <c r="U26" s="5" t="inlineStr">
        <is>
          <t>Donor alone</t>
        </is>
      </c>
      <c r="V26" s="5" t="inlineStr">
        <is>
          <t>Flammable; partial pressure 0.5 bar at 10 bar</t>
        </is>
      </c>
      <c r="W26" s="5" t="n"/>
    </row>
    <row r="27">
      <c r="A27" s="5" t="inlineStr">
        <is>
          <t>B23</t>
        </is>
      </c>
      <c r="B27" s="5" t="inlineStr">
        <is>
          <t>Ar:DME</t>
        </is>
      </c>
      <c r="C27" s="14" t="inlineStr">
        <is>
          <t>B</t>
        </is>
      </c>
      <c r="D27" s="5" t="inlineStr">
        <is>
          <t>Ar:DME 99:1</t>
        </is>
      </c>
      <c r="E27" s="7" t="inlineStr">
        <is>
          <t>dme</t>
        </is>
      </c>
      <c r="F27" s="8" t="n">
        <v>1</v>
      </c>
      <c r="G27" s="7" t="n"/>
      <c r="H27" s="8" t="n"/>
      <c r="I27" s="7" t="n"/>
      <c r="J27" s="8" t="n"/>
      <c r="K27" s="9">
        <f>100-F27-H27-J27</f>
        <v/>
      </c>
      <c r="L27" s="10">
        <f>(K27*INDEX(Components!$D$2:$D$17,MATCH("ar",Components!$A$2:$A$17,0))+IF(E27="",0,F27*INDEX(Components!$D$2:$D$17,MATCH(E27,Components!$A$2:$A$17,0)))+IF(G27="",0,H27*INDEX(Components!$D$2:$D$17,MATCH(G27,Components!$A$2:$A$17,0)))+IF(I27="",0,J27*INDEX(Components!$D$2:$D$17,MATCH(I27,Components!$A$2:$A$17,0))))/100</f>
        <v/>
      </c>
      <c r="M27" s="11">
        <f>K27*INDEX(Components!$D$2:$D$17,MATCH("ar",Components!$A$2:$A$17,0))/(K27*INDEX(Components!$D$2:$D$17,MATCH("ar",Components!$A$2:$A$17,0))+IF(E27="",0,F27*INDEX(Components!$D$2:$D$17,MATCH(E27,Components!$A$2:$A$17,0)))+IF(G27="",0,H27*INDEX(Components!$D$2:$D$17,MATCH(G27,Components!$A$2:$A$17,0)))+IF(I27="",0,J27*INDEX(Components!$D$2:$D$17,MATCH(I27,Components!$A$2:$A$17,0))))</f>
        <v/>
      </c>
      <c r="N27" s="10">
        <f>MIN(15.76,IF(E27="",99,INDEX(Components!$E$2:$E$17,MATCH(E27,Components!$A$2:$A$17,0))),IF(G27="",99,INDEX(Components!$E$2:$E$17,MATCH(G27,Components!$A$2:$A$17,0))),IF(I27="",99,INDEX(Components!$E$2:$E$17,MATCH(I27,Components!$A$2:$A$17,0))))</f>
        <v/>
      </c>
      <c r="O27" s="5">
        <f>IF(N27&lt;11.55,"4s, 4p and higher",IF(N27&lt;12.91,"4p and higher",IF(N27&lt;13.85,"3d/5s and higher",IF(N27&lt;15.76,"high Rydberg only","none"))))</f>
        <v/>
      </c>
      <c r="P27" s="9">
        <f>IF(E27="",0,IF(INDEX(Components!$F$2:$F$17,MATCH(E27,Components!$A$2:$A$17,0))&gt;0,F27,0))+IF(G27="",0,IF(INDEX(Components!$F$2:$F$17,MATCH(G27,Components!$A$2:$A$17,0))&gt;0,H27,0))+IF(I27="",0,IF(INDEX(Components!$F$2:$F$17,MATCH(I27,Components!$A$2:$A$17,0))&gt;0,J27,0))</f>
        <v/>
      </c>
      <c r="Q27" s="5" t="inlineStr">
        <is>
          <t>H, C, O</t>
        </is>
      </c>
      <c r="R27" s="5" t="inlineStr">
        <is>
          <t>none: bracket r</t>
        </is>
      </c>
      <c r="S27" s="12">
        <f>IF(C27="A",'Run grid'!$B$4,IF(C27="B",'Run grid'!$B$6,'Run grid'!$B$8))</f>
        <v/>
      </c>
      <c r="T27" s="9">
        <f>S27*'Run grid'!$B$22</f>
        <v/>
      </c>
      <c r="U27" s="5" t="inlineStr">
        <is>
          <t>Donor, no attachment</t>
        </is>
      </c>
      <c r="V27" s="5" t="inlineStr">
        <is>
          <t>Flammable; materials compatibility</t>
        </is>
      </c>
      <c r="W27" s="5" t="n"/>
    </row>
    <row r="28">
      <c r="A28" s="5" t="inlineStr">
        <is>
          <t>B24</t>
        </is>
      </c>
      <c r="B28" s="5" t="inlineStr">
        <is>
          <t>Ar:DME</t>
        </is>
      </c>
      <c r="C28" s="14" t="inlineStr">
        <is>
          <t>B</t>
        </is>
      </c>
      <c r="D28" s="5" t="inlineStr">
        <is>
          <t>Ar:DME 98:2</t>
        </is>
      </c>
      <c r="E28" s="7" t="inlineStr">
        <is>
          <t>dme</t>
        </is>
      </c>
      <c r="F28" s="8" t="n">
        <v>2</v>
      </c>
      <c r="G28" s="7" t="n"/>
      <c r="H28" s="8" t="n"/>
      <c r="I28" s="7" t="n"/>
      <c r="J28" s="8" t="n"/>
      <c r="K28" s="9">
        <f>100-F28-H28-J28</f>
        <v/>
      </c>
      <c r="L28" s="10">
        <f>(K28*INDEX(Components!$D$2:$D$17,MATCH("ar",Components!$A$2:$A$17,0))+IF(E28="",0,F28*INDEX(Components!$D$2:$D$17,MATCH(E28,Components!$A$2:$A$17,0)))+IF(G28="",0,H28*INDEX(Components!$D$2:$D$17,MATCH(G28,Components!$A$2:$A$17,0)))+IF(I28="",0,J28*INDEX(Components!$D$2:$D$17,MATCH(I28,Components!$A$2:$A$17,0))))/100</f>
        <v/>
      </c>
      <c r="M28" s="11">
        <f>K28*INDEX(Components!$D$2:$D$17,MATCH("ar",Components!$A$2:$A$17,0))/(K28*INDEX(Components!$D$2:$D$17,MATCH("ar",Components!$A$2:$A$17,0))+IF(E28="",0,F28*INDEX(Components!$D$2:$D$17,MATCH(E28,Components!$A$2:$A$17,0)))+IF(G28="",0,H28*INDEX(Components!$D$2:$D$17,MATCH(G28,Components!$A$2:$A$17,0)))+IF(I28="",0,J28*INDEX(Components!$D$2:$D$17,MATCH(I28,Components!$A$2:$A$17,0))))</f>
        <v/>
      </c>
      <c r="N28" s="10">
        <f>MIN(15.76,IF(E28="",99,INDEX(Components!$E$2:$E$17,MATCH(E28,Components!$A$2:$A$17,0))),IF(G28="",99,INDEX(Components!$E$2:$E$17,MATCH(G28,Components!$A$2:$A$17,0))),IF(I28="",99,INDEX(Components!$E$2:$E$17,MATCH(I28,Components!$A$2:$A$17,0))))</f>
        <v/>
      </c>
      <c r="O28" s="5">
        <f>IF(N28&lt;11.55,"4s, 4p and higher",IF(N28&lt;12.91,"4p and higher",IF(N28&lt;13.85,"3d/5s and higher",IF(N28&lt;15.76,"high Rydberg only","none"))))</f>
        <v/>
      </c>
      <c r="P28" s="9">
        <f>IF(E28="",0,IF(INDEX(Components!$F$2:$F$17,MATCH(E28,Components!$A$2:$A$17,0))&gt;0,F28,0))+IF(G28="",0,IF(INDEX(Components!$F$2:$F$17,MATCH(G28,Components!$A$2:$A$17,0))&gt;0,H28,0))+IF(I28="",0,IF(INDEX(Components!$F$2:$F$17,MATCH(I28,Components!$A$2:$A$17,0))&gt;0,J28,0))</f>
        <v/>
      </c>
      <c r="Q28" s="5" t="inlineStr">
        <is>
          <t>H, C, O</t>
        </is>
      </c>
      <c r="R28" s="5" t="inlineStr">
        <is>
          <t>none: bracket r</t>
        </is>
      </c>
      <c r="S28" s="12">
        <f>IF(C28="A",'Run grid'!$B$4,IF(C28="B",'Run grid'!$B$6,'Run grid'!$B$8))</f>
        <v/>
      </c>
      <c r="T28" s="9">
        <f>S28*'Run grid'!$B$22</f>
        <v/>
      </c>
      <c r="U28" s="5" t="inlineStr">
        <is>
          <t>Donor, no attachment</t>
        </is>
      </c>
      <c r="V28" s="5" t="inlineStr">
        <is>
          <t>Flammable; materials compatibility</t>
        </is>
      </c>
      <c r="W28" s="5" t="n"/>
    </row>
    <row r="29">
      <c r="A29" s="5" t="inlineStr">
        <is>
          <t>B25</t>
        </is>
      </c>
      <c r="B29" s="5" t="inlineStr">
        <is>
          <t>Ar:DME</t>
        </is>
      </c>
      <c r="C29" s="6" t="inlineStr">
        <is>
          <t>C</t>
        </is>
      </c>
      <c r="D29" s="5" t="inlineStr">
        <is>
          <t>Ar:DME 95:5</t>
        </is>
      </c>
      <c r="E29" s="7" t="inlineStr">
        <is>
          <t>dme</t>
        </is>
      </c>
      <c r="F29" s="8" t="n">
        <v>5</v>
      </c>
      <c r="G29" s="7" t="n"/>
      <c r="H29" s="8" t="n"/>
      <c r="I29" s="7" t="n"/>
      <c r="J29" s="8" t="n"/>
      <c r="K29" s="9">
        <f>100-F29-H29-J29</f>
        <v/>
      </c>
      <c r="L29" s="10">
        <f>(K29*INDEX(Components!$D$2:$D$17,MATCH("ar",Components!$A$2:$A$17,0))+IF(E29="",0,F29*INDEX(Components!$D$2:$D$17,MATCH(E29,Components!$A$2:$A$17,0)))+IF(G29="",0,H29*INDEX(Components!$D$2:$D$17,MATCH(G29,Components!$A$2:$A$17,0)))+IF(I29="",0,J29*INDEX(Components!$D$2:$D$17,MATCH(I29,Components!$A$2:$A$17,0))))/100</f>
        <v/>
      </c>
      <c r="M29" s="11">
        <f>K29*INDEX(Components!$D$2:$D$17,MATCH("ar",Components!$A$2:$A$17,0))/(K29*INDEX(Components!$D$2:$D$17,MATCH("ar",Components!$A$2:$A$17,0))+IF(E29="",0,F29*INDEX(Components!$D$2:$D$17,MATCH(E29,Components!$A$2:$A$17,0)))+IF(G29="",0,H29*INDEX(Components!$D$2:$D$17,MATCH(G29,Components!$A$2:$A$17,0)))+IF(I29="",0,J29*INDEX(Components!$D$2:$D$17,MATCH(I29,Components!$A$2:$A$17,0))))</f>
        <v/>
      </c>
      <c r="N29" s="10">
        <f>MIN(15.76,IF(E29="",99,INDEX(Components!$E$2:$E$17,MATCH(E29,Components!$A$2:$A$17,0))),IF(G29="",99,INDEX(Components!$E$2:$E$17,MATCH(G29,Components!$A$2:$A$17,0))),IF(I29="",99,INDEX(Components!$E$2:$E$17,MATCH(I29,Components!$A$2:$A$17,0))))</f>
        <v/>
      </c>
      <c r="O29" s="5">
        <f>IF(N29&lt;11.55,"4s, 4p and higher",IF(N29&lt;12.91,"4p and higher",IF(N29&lt;13.85,"3d/5s and higher",IF(N29&lt;15.76,"high Rydberg only","none"))))</f>
        <v/>
      </c>
      <c r="P29" s="9">
        <f>IF(E29="",0,IF(INDEX(Components!$F$2:$F$17,MATCH(E29,Components!$A$2:$A$17,0))&gt;0,F29,0))+IF(G29="",0,IF(INDEX(Components!$F$2:$F$17,MATCH(G29,Components!$A$2:$A$17,0))&gt;0,H29,0))+IF(I29="",0,IF(INDEX(Components!$F$2:$F$17,MATCH(I29,Components!$A$2:$A$17,0))&gt;0,J29,0))</f>
        <v/>
      </c>
      <c r="Q29" s="5" t="inlineStr">
        <is>
          <t>H, C, O</t>
        </is>
      </c>
      <c r="R29" s="5" t="inlineStr">
        <is>
          <t>none: bracket r</t>
        </is>
      </c>
      <c r="S29" s="12">
        <f>IF(C29="A",'Run grid'!$B$4,IF(C29="B",'Run grid'!$B$6,'Run grid'!$B$8))</f>
        <v/>
      </c>
      <c r="T29" s="9">
        <f>S29*'Run grid'!$B$22</f>
        <v/>
      </c>
      <c r="U29" s="5" t="inlineStr">
        <is>
          <t>Donor, no attachment</t>
        </is>
      </c>
      <c r="V29" s="5" t="inlineStr">
        <is>
          <t>Flammable; materials compatibility</t>
        </is>
      </c>
      <c r="W29" s="5" t="n"/>
    </row>
    <row r="30">
      <c r="A30" s="5" t="inlineStr">
        <is>
          <t>B26</t>
        </is>
      </c>
      <c r="B30" s="5" t="inlineStr">
        <is>
          <t>Ar:TMA</t>
        </is>
      </c>
      <c r="C30" s="14" t="inlineStr">
        <is>
          <t>B</t>
        </is>
      </c>
      <c r="D30" s="5" t="inlineStr">
        <is>
          <t>Ar:TMA 99.5:0.5</t>
        </is>
      </c>
      <c r="E30" s="7" t="inlineStr">
        <is>
          <t>tma</t>
        </is>
      </c>
      <c r="F30" s="8" t="n">
        <v>0.5</v>
      </c>
      <c r="G30" s="7" t="n"/>
      <c r="H30" s="8" t="n"/>
      <c r="I30" s="7" t="n"/>
      <c r="J30" s="8" t="n"/>
      <c r="K30" s="9">
        <f>100-F30-H30-J30</f>
        <v/>
      </c>
      <c r="L30" s="10">
        <f>(K30*INDEX(Components!$D$2:$D$17,MATCH("ar",Components!$A$2:$A$17,0))+IF(E30="",0,F30*INDEX(Components!$D$2:$D$17,MATCH(E30,Components!$A$2:$A$17,0)))+IF(G30="",0,H30*INDEX(Components!$D$2:$D$17,MATCH(G30,Components!$A$2:$A$17,0)))+IF(I30="",0,J30*INDEX(Components!$D$2:$D$17,MATCH(I30,Components!$A$2:$A$17,0))))/100</f>
        <v/>
      </c>
      <c r="M30" s="11">
        <f>K30*INDEX(Components!$D$2:$D$17,MATCH("ar",Components!$A$2:$A$17,0))/(K30*INDEX(Components!$D$2:$D$17,MATCH("ar",Components!$A$2:$A$17,0))+IF(E30="",0,F30*INDEX(Components!$D$2:$D$17,MATCH(E30,Components!$A$2:$A$17,0)))+IF(G30="",0,H30*INDEX(Components!$D$2:$D$17,MATCH(G30,Components!$A$2:$A$17,0)))+IF(I30="",0,J30*INDEX(Components!$D$2:$D$17,MATCH(I30,Components!$A$2:$A$17,0))))</f>
        <v/>
      </c>
      <c r="N30" s="10">
        <f>MIN(15.76,IF(E30="",99,INDEX(Components!$E$2:$E$17,MATCH(E30,Components!$A$2:$A$17,0))),IF(G30="",99,INDEX(Components!$E$2:$E$17,MATCH(G30,Components!$A$2:$A$17,0))),IF(I30="",99,INDEX(Components!$E$2:$E$17,MATCH(I30,Components!$A$2:$A$17,0))))</f>
        <v/>
      </c>
      <c r="O30" s="5">
        <f>IF(N30&lt;11.55,"4s, 4p and higher",IF(N30&lt;12.91,"4p and higher",IF(N30&lt;13.85,"3d/5s and higher",IF(N30&lt;15.76,"high Rydberg only","none"))))</f>
        <v/>
      </c>
      <c r="P30" s="9">
        <f>IF(E30="",0,IF(INDEX(Components!$F$2:$F$17,MATCH(E30,Components!$A$2:$A$17,0))&gt;0,F30,0))+IF(G30="",0,IF(INDEX(Components!$F$2:$F$17,MATCH(G30,Components!$A$2:$A$17,0))&gt;0,H30,0))+IF(I30="",0,IF(INDEX(Components!$F$2:$F$17,MATCH(I30,Components!$A$2:$A$17,0))&gt;0,J30,0))</f>
        <v/>
      </c>
      <c r="Q30" s="5" t="inlineStr">
        <is>
          <t>H, C, N</t>
        </is>
      </c>
      <c r="R30" s="5" t="inlineStr">
        <is>
          <t>none: bracket r</t>
        </is>
      </c>
      <c r="S30" s="12">
        <f>IF(C30="A",'Run grid'!$B$4,IF(C30="B",'Run grid'!$B$6,'Run grid'!$B$8))</f>
        <v/>
      </c>
      <c r="T30" s="9">
        <f>S30*'Run grid'!$B$22</f>
        <v/>
      </c>
      <c r="U30" s="5" t="inlineStr">
        <is>
          <t>Strongest Penning donor (IP 7.9 eV)</t>
        </is>
      </c>
      <c r="V30" s="5" t="inlineStr">
        <is>
          <t>Toxic, reactive</t>
        </is>
      </c>
      <c r="W30" s="5" t="n"/>
    </row>
    <row r="31">
      <c r="A31" s="5" t="inlineStr">
        <is>
          <t>B27</t>
        </is>
      </c>
      <c r="B31" s="5" t="inlineStr">
        <is>
          <t>Ar:TMA</t>
        </is>
      </c>
      <c r="C31" s="14" t="inlineStr">
        <is>
          <t>B</t>
        </is>
      </c>
      <c r="D31" s="5" t="inlineStr">
        <is>
          <t>Ar:TMA 99:1</t>
        </is>
      </c>
      <c r="E31" s="7" t="inlineStr">
        <is>
          <t>tma</t>
        </is>
      </c>
      <c r="F31" s="8" t="n">
        <v>1</v>
      </c>
      <c r="G31" s="7" t="n"/>
      <c r="H31" s="8" t="n"/>
      <c r="I31" s="7" t="n"/>
      <c r="J31" s="8" t="n"/>
      <c r="K31" s="9">
        <f>100-F31-H31-J31</f>
        <v/>
      </c>
      <c r="L31" s="10">
        <f>(K31*INDEX(Components!$D$2:$D$17,MATCH("ar",Components!$A$2:$A$17,0))+IF(E31="",0,F31*INDEX(Components!$D$2:$D$17,MATCH(E31,Components!$A$2:$A$17,0)))+IF(G31="",0,H31*INDEX(Components!$D$2:$D$17,MATCH(G31,Components!$A$2:$A$17,0)))+IF(I31="",0,J31*INDEX(Components!$D$2:$D$17,MATCH(I31,Components!$A$2:$A$17,0))))/100</f>
        <v/>
      </c>
      <c r="M31" s="11">
        <f>K31*INDEX(Components!$D$2:$D$17,MATCH("ar",Components!$A$2:$A$17,0))/(K31*INDEX(Components!$D$2:$D$17,MATCH("ar",Components!$A$2:$A$17,0))+IF(E31="",0,F31*INDEX(Components!$D$2:$D$17,MATCH(E31,Components!$A$2:$A$17,0)))+IF(G31="",0,H31*INDEX(Components!$D$2:$D$17,MATCH(G31,Components!$A$2:$A$17,0)))+IF(I31="",0,J31*INDEX(Components!$D$2:$D$17,MATCH(I31,Components!$A$2:$A$17,0))))</f>
        <v/>
      </c>
      <c r="N31" s="10">
        <f>MIN(15.76,IF(E31="",99,INDEX(Components!$E$2:$E$17,MATCH(E31,Components!$A$2:$A$17,0))),IF(G31="",99,INDEX(Components!$E$2:$E$17,MATCH(G31,Components!$A$2:$A$17,0))),IF(I31="",99,INDEX(Components!$E$2:$E$17,MATCH(I31,Components!$A$2:$A$17,0))))</f>
        <v/>
      </c>
      <c r="O31" s="5">
        <f>IF(N31&lt;11.55,"4s, 4p and higher",IF(N31&lt;12.91,"4p and higher",IF(N31&lt;13.85,"3d/5s and higher",IF(N31&lt;15.76,"high Rydberg only","none"))))</f>
        <v/>
      </c>
      <c r="P31" s="9">
        <f>IF(E31="",0,IF(INDEX(Components!$F$2:$F$17,MATCH(E31,Components!$A$2:$A$17,0))&gt;0,F31,0))+IF(G31="",0,IF(INDEX(Components!$F$2:$F$17,MATCH(G31,Components!$A$2:$A$17,0))&gt;0,H31,0))+IF(I31="",0,IF(INDEX(Components!$F$2:$F$17,MATCH(I31,Components!$A$2:$A$17,0))&gt;0,J31,0))</f>
        <v/>
      </c>
      <c r="Q31" s="5" t="inlineStr">
        <is>
          <t>H, C, N</t>
        </is>
      </c>
      <c r="R31" s="5" t="inlineStr">
        <is>
          <t>none: bracket r</t>
        </is>
      </c>
      <c r="S31" s="12">
        <f>IF(C31="A",'Run grid'!$B$4,IF(C31="B",'Run grid'!$B$6,'Run grid'!$B$8))</f>
        <v/>
      </c>
      <c r="T31" s="9">
        <f>S31*'Run grid'!$B$22</f>
        <v/>
      </c>
      <c r="U31" s="5" t="inlineStr">
        <is>
          <t>Strongest Penning donor</t>
        </is>
      </c>
      <c r="V31" s="5" t="inlineStr">
        <is>
          <t>Toxic, reactive</t>
        </is>
      </c>
      <c r="W31" s="5" t="n"/>
    </row>
    <row r="32">
      <c r="A32" s="5" t="inlineStr">
        <is>
          <t>B28</t>
        </is>
      </c>
      <c r="B32" s="5" t="inlineStr">
        <is>
          <t>Ar:TMA</t>
        </is>
      </c>
      <c r="C32" s="6" t="inlineStr">
        <is>
          <t>C</t>
        </is>
      </c>
      <c r="D32" s="5" t="inlineStr">
        <is>
          <t>Ar:TMA 98:2</t>
        </is>
      </c>
      <c r="E32" s="7" t="inlineStr">
        <is>
          <t>tma</t>
        </is>
      </c>
      <c r="F32" s="8" t="n">
        <v>2</v>
      </c>
      <c r="G32" s="7" t="n"/>
      <c r="H32" s="8" t="n"/>
      <c r="I32" s="7" t="n"/>
      <c r="J32" s="8" t="n"/>
      <c r="K32" s="9">
        <f>100-F32-H32-J32</f>
        <v/>
      </c>
      <c r="L32" s="10">
        <f>(K32*INDEX(Components!$D$2:$D$17,MATCH("ar",Components!$A$2:$A$17,0))+IF(E32="",0,F32*INDEX(Components!$D$2:$D$17,MATCH(E32,Components!$A$2:$A$17,0)))+IF(G32="",0,H32*INDEX(Components!$D$2:$D$17,MATCH(G32,Components!$A$2:$A$17,0)))+IF(I32="",0,J32*INDEX(Components!$D$2:$D$17,MATCH(I32,Components!$A$2:$A$17,0))))/100</f>
        <v/>
      </c>
      <c r="M32" s="11">
        <f>K32*INDEX(Components!$D$2:$D$17,MATCH("ar",Components!$A$2:$A$17,0))/(K32*INDEX(Components!$D$2:$D$17,MATCH("ar",Components!$A$2:$A$17,0))+IF(E32="",0,F32*INDEX(Components!$D$2:$D$17,MATCH(E32,Components!$A$2:$A$17,0)))+IF(G32="",0,H32*INDEX(Components!$D$2:$D$17,MATCH(G32,Components!$A$2:$A$17,0)))+IF(I32="",0,J32*INDEX(Components!$D$2:$D$17,MATCH(I32,Components!$A$2:$A$17,0))))</f>
        <v/>
      </c>
      <c r="N32" s="10">
        <f>MIN(15.76,IF(E32="",99,INDEX(Components!$E$2:$E$17,MATCH(E32,Components!$A$2:$A$17,0))),IF(G32="",99,INDEX(Components!$E$2:$E$17,MATCH(G32,Components!$A$2:$A$17,0))),IF(I32="",99,INDEX(Components!$E$2:$E$17,MATCH(I32,Components!$A$2:$A$17,0))))</f>
        <v/>
      </c>
      <c r="O32" s="5">
        <f>IF(N32&lt;11.55,"4s, 4p and higher",IF(N32&lt;12.91,"4p and higher",IF(N32&lt;13.85,"3d/5s and higher",IF(N32&lt;15.76,"high Rydberg only","none"))))</f>
        <v/>
      </c>
      <c r="P32" s="9">
        <f>IF(E32="",0,IF(INDEX(Components!$F$2:$F$17,MATCH(E32,Components!$A$2:$A$17,0))&gt;0,F32,0))+IF(G32="",0,IF(INDEX(Components!$F$2:$F$17,MATCH(G32,Components!$A$2:$A$17,0))&gt;0,H32,0))+IF(I32="",0,IF(INDEX(Components!$F$2:$F$17,MATCH(I32,Components!$A$2:$A$17,0))&gt;0,J32,0))</f>
        <v/>
      </c>
      <c r="Q32" s="5" t="inlineStr">
        <is>
          <t>H, C, N</t>
        </is>
      </c>
      <c r="R32" s="5" t="inlineStr">
        <is>
          <t>none: bracket r</t>
        </is>
      </c>
      <c r="S32" s="12">
        <f>IF(C32="A",'Run grid'!$B$4,IF(C32="B",'Run grid'!$B$6,'Run grid'!$B$8))</f>
        <v/>
      </c>
      <c r="T32" s="9">
        <f>S32*'Run grid'!$B$22</f>
        <v/>
      </c>
      <c r="U32" s="5" t="inlineStr">
        <is>
          <t>Strongest Penning donor</t>
        </is>
      </c>
      <c r="V32" s="5" t="inlineStr">
        <is>
          <t>Toxic, reactive</t>
        </is>
      </c>
      <c r="W32" s="5" t="n"/>
    </row>
    <row r="33">
      <c r="A33" s="5" t="inlineStr">
        <is>
          <t>B29</t>
        </is>
      </c>
      <c r="B33" s="5" t="inlineStr">
        <is>
          <t>Ar:C2H2</t>
        </is>
      </c>
      <c r="C33" s="6" t="inlineStr">
        <is>
          <t>C</t>
        </is>
      </c>
      <c r="D33" s="5" t="inlineStr">
        <is>
          <t>Ar:C2H2 99:1</t>
        </is>
      </c>
      <c r="E33" s="7" t="inlineStr">
        <is>
          <t>c2h2</t>
        </is>
      </c>
      <c r="F33" s="8" t="n">
        <v>1</v>
      </c>
      <c r="G33" s="7" t="n"/>
      <c r="H33" s="8" t="n"/>
      <c r="I33" s="7" t="n"/>
      <c r="J33" s="8" t="n"/>
      <c r="K33" s="9">
        <f>100-F33-H33-J33</f>
        <v/>
      </c>
      <c r="L33" s="10">
        <f>(K33*INDEX(Components!$D$2:$D$17,MATCH("ar",Components!$A$2:$A$17,0))+IF(E33="",0,F33*INDEX(Components!$D$2:$D$17,MATCH(E33,Components!$A$2:$A$17,0)))+IF(G33="",0,H33*INDEX(Components!$D$2:$D$17,MATCH(G33,Components!$A$2:$A$17,0)))+IF(I33="",0,J33*INDEX(Components!$D$2:$D$17,MATCH(I33,Components!$A$2:$A$17,0))))/100</f>
        <v/>
      </c>
      <c r="M33" s="11">
        <f>K33*INDEX(Components!$D$2:$D$17,MATCH("ar",Components!$A$2:$A$17,0))/(K33*INDEX(Components!$D$2:$D$17,MATCH("ar",Components!$A$2:$A$17,0))+IF(E33="",0,F33*INDEX(Components!$D$2:$D$17,MATCH(E33,Components!$A$2:$A$17,0)))+IF(G33="",0,H33*INDEX(Components!$D$2:$D$17,MATCH(G33,Components!$A$2:$A$17,0)))+IF(I33="",0,J33*INDEX(Components!$D$2:$D$17,MATCH(I33,Components!$A$2:$A$17,0))))</f>
        <v/>
      </c>
      <c r="N33" s="10">
        <f>MIN(15.76,IF(E33="",99,INDEX(Components!$E$2:$E$17,MATCH(E33,Components!$A$2:$A$17,0))),IF(G33="",99,INDEX(Components!$E$2:$E$17,MATCH(G33,Components!$A$2:$A$17,0))),IF(I33="",99,INDEX(Components!$E$2:$E$17,MATCH(I33,Components!$A$2:$A$17,0))))</f>
        <v/>
      </c>
      <c r="O33" s="5">
        <f>IF(N33&lt;11.55,"4s, 4p and higher",IF(N33&lt;12.91,"4p and higher",IF(N33&lt;13.85,"3d/5s and higher",IF(N33&lt;15.76,"high Rydberg only","none"))))</f>
        <v/>
      </c>
      <c r="P33" s="9">
        <f>IF(E33="",0,IF(INDEX(Components!$F$2:$F$17,MATCH(E33,Components!$A$2:$A$17,0))&gt;0,F33,0))+IF(G33="",0,IF(INDEX(Components!$F$2:$F$17,MATCH(G33,Components!$A$2:$A$17,0))&gt;0,H33,0))+IF(I33="",0,IF(INDEX(Components!$F$2:$F$17,MATCH(I33,Components!$A$2:$A$17,0))&gt;0,J33,0))</f>
        <v/>
      </c>
      <c r="Q33" s="5" t="inlineStr">
        <is>
          <t>H, C</t>
        </is>
      </c>
      <c r="R33" s="5" t="inlineStr">
        <is>
          <t>auto: 0.72 (cylindrical counters)</t>
        </is>
      </c>
      <c r="S33" s="12">
        <f>IF(C33="A",'Run grid'!$B$4,IF(C33="B",'Run grid'!$B$6,'Run grid'!$B$8))</f>
        <v/>
      </c>
      <c r="T33" s="9">
        <f>S33*'Run grid'!$B$22</f>
        <v/>
      </c>
      <c r="U33" s="5" t="inlineStr">
        <is>
          <t>Published high r (0.72)</t>
        </is>
      </c>
      <c r="V33" s="5" t="inlineStr">
        <is>
          <t>Partial pressure 0.1 bar at 10 bar; decomposition hazard</t>
        </is>
      </c>
      <c r="W33" s="5" t="inlineStr">
        <is>
          <t>Sahin 2010 (r)</t>
        </is>
      </c>
    </row>
    <row r="34">
      <c r="A34" s="5" t="inlineStr">
        <is>
          <t>B30</t>
        </is>
      </c>
      <c r="B34" s="5" t="inlineStr">
        <is>
          <t>Ar:C2H2</t>
        </is>
      </c>
      <c r="C34" s="6" t="inlineStr">
        <is>
          <t>C</t>
        </is>
      </c>
      <c r="D34" s="5" t="inlineStr">
        <is>
          <t>Ar:C2H2 98:2</t>
        </is>
      </c>
      <c r="E34" s="7" t="inlineStr">
        <is>
          <t>c2h2</t>
        </is>
      </c>
      <c r="F34" s="8" t="n">
        <v>2</v>
      </c>
      <c r="G34" s="7" t="n"/>
      <c r="H34" s="8" t="n"/>
      <c r="I34" s="7" t="n"/>
      <c r="J34" s="8" t="n"/>
      <c r="K34" s="9">
        <f>100-F34-H34-J34</f>
        <v/>
      </c>
      <c r="L34" s="10">
        <f>(K34*INDEX(Components!$D$2:$D$17,MATCH("ar",Components!$A$2:$A$17,0))+IF(E34="",0,F34*INDEX(Components!$D$2:$D$17,MATCH(E34,Components!$A$2:$A$17,0)))+IF(G34="",0,H34*INDEX(Components!$D$2:$D$17,MATCH(G34,Components!$A$2:$A$17,0)))+IF(I34="",0,J34*INDEX(Components!$D$2:$D$17,MATCH(I34,Components!$A$2:$A$17,0))))/100</f>
        <v/>
      </c>
      <c r="M34" s="11">
        <f>K34*INDEX(Components!$D$2:$D$17,MATCH("ar",Components!$A$2:$A$17,0))/(K34*INDEX(Components!$D$2:$D$17,MATCH("ar",Components!$A$2:$A$17,0))+IF(E34="",0,F34*INDEX(Components!$D$2:$D$17,MATCH(E34,Components!$A$2:$A$17,0)))+IF(G34="",0,H34*INDEX(Components!$D$2:$D$17,MATCH(G34,Components!$A$2:$A$17,0)))+IF(I34="",0,J34*INDEX(Components!$D$2:$D$17,MATCH(I34,Components!$A$2:$A$17,0))))</f>
        <v/>
      </c>
      <c r="N34" s="10">
        <f>MIN(15.76,IF(E34="",99,INDEX(Components!$E$2:$E$17,MATCH(E34,Components!$A$2:$A$17,0))),IF(G34="",99,INDEX(Components!$E$2:$E$17,MATCH(G34,Components!$A$2:$A$17,0))),IF(I34="",99,INDEX(Components!$E$2:$E$17,MATCH(I34,Components!$A$2:$A$17,0))))</f>
        <v/>
      </c>
      <c r="O34" s="5">
        <f>IF(N34&lt;11.55,"4s, 4p and higher",IF(N34&lt;12.91,"4p and higher",IF(N34&lt;13.85,"3d/5s and higher",IF(N34&lt;15.76,"high Rydberg only","none"))))</f>
        <v/>
      </c>
      <c r="P34" s="9">
        <f>IF(E34="",0,IF(INDEX(Components!$F$2:$F$17,MATCH(E34,Components!$A$2:$A$17,0))&gt;0,F34,0))+IF(G34="",0,IF(INDEX(Components!$F$2:$F$17,MATCH(G34,Components!$A$2:$A$17,0))&gt;0,H34,0))+IF(I34="",0,IF(INDEX(Components!$F$2:$F$17,MATCH(I34,Components!$A$2:$A$17,0))&gt;0,J34,0))</f>
        <v/>
      </c>
      <c r="Q34" s="5" t="inlineStr">
        <is>
          <t>H, C</t>
        </is>
      </c>
      <c r="R34" s="5" t="inlineStr">
        <is>
          <t>auto: 0.72 (cylindrical counters)</t>
        </is>
      </c>
      <c r="S34" s="12">
        <f>IF(C34="A",'Run grid'!$B$4,IF(C34="B",'Run grid'!$B$6,'Run grid'!$B$8))</f>
        <v/>
      </c>
      <c r="T34" s="9">
        <f>S34*'Run grid'!$B$22</f>
        <v/>
      </c>
      <c r="U34" s="5" t="inlineStr">
        <is>
          <t>Published high r (0.72)</t>
        </is>
      </c>
      <c r="V34" s="5" t="inlineStr">
        <is>
          <t>Partial pressure 0.2 bar at 10 bar; decomposition hazard</t>
        </is>
      </c>
      <c r="W34" s="5" t="n"/>
    </row>
    <row r="35">
      <c r="A35" s="5" t="inlineStr">
        <is>
          <t>B31</t>
        </is>
      </c>
      <c r="B35" s="5" t="inlineStr">
        <is>
          <t>Ar:N2</t>
        </is>
      </c>
      <c r="C35" s="6" t="inlineStr">
        <is>
          <t>C</t>
        </is>
      </c>
      <c r="D35" s="5" t="inlineStr">
        <is>
          <t>Ar:N2 95:5</t>
        </is>
      </c>
      <c r="E35" s="7" t="inlineStr">
        <is>
          <t>n2</t>
        </is>
      </c>
      <c r="F35" s="8" t="n">
        <v>5</v>
      </c>
      <c r="G35" s="7" t="n"/>
      <c r="H35" s="8" t="n"/>
      <c r="I35" s="7" t="n"/>
      <c r="J35" s="8" t="n"/>
      <c r="K35" s="9">
        <f>100-F35-H35-J35</f>
        <v/>
      </c>
      <c r="L35" s="10">
        <f>(K35*INDEX(Components!$D$2:$D$17,MATCH("ar",Components!$A$2:$A$17,0))+IF(E35="",0,F35*INDEX(Components!$D$2:$D$17,MATCH(E35,Components!$A$2:$A$17,0)))+IF(G35="",0,H35*INDEX(Components!$D$2:$D$17,MATCH(G35,Components!$A$2:$A$17,0)))+IF(I35="",0,J35*INDEX(Components!$D$2:$D$17,MATCH(I35,Components!$A$2:$A$17,0))))/100</f>
        <v/>
      </c>
      <c r="M35" s="11">
        <f>K35*INDEX(Components!$D$2:$D$17,MATCH("ar",Components!$A$2:$A$17,0))/(K35*INDEX(Components!$D$2:$D$17,MATCH("ar",Components!$A$2:$A$17,0))+IF(E35="",0,F35*INDEX(Components!$D$2:$D$17,MATCH(E35,Components!$A$2:$A$17,0)))+IF(G35="",0,H35*INDEX(Components!$D$2:$D$17,MATCH(G35,Components!$A$2:$A$17,0)))+IF(I35="",0,J35*INDEX(Components!$D$2:$D$17,MATCH(I35,Components!$A$2:$A$17,0))))</f>
        <v/>
      </c>
      <c r="N35" s="10">
        <f>MIN(15.76,IF(E35="",99,INDEX(Components!$E$2:$E$17,MATCH(E35,Components!$A$2:$A$17,0))),IF(G35="",99,INDEX(Components!$E$2:$E$17,MATCH(G35,Components!$A$2:$A$17,0))),IF(I35="",99,INDEX(Components!$E$2:$E$17,MATCH(I35,Components!$A$2:$A$17,0))))</f>
        <v/>
      </c>
      <c r="O35" s="5">
        <f>IF(N35&lt;11.55,"4s, 4p and higher",IF(N35&lt;12.91,"4p and higher",IF(N35&lt;13.85,"3d/5s and higher",IF(N35&lt;15.76,"high Rydberg only","none"))))</f>
        <v/>
      </c>
      <c r="P35" s="9">
        <f>IF(E35="",0,IF(INDEX(Components!$F$2:$F$17,MATCH(E35,Components!$A$2:$A$17,0))&gt;0,F35,0))+IF(G35="",0,IF(INDEX(Components!$F$2:$F$17,MATCH(G35,Components!$A$2:$A$17,0))&gt;0,H35,0))+IF(I35="",0,IF(INDEX(Components!$F$2:$F$17,MATCH(I35,Components!$A$2:$A$17,0))&gt;0,J35,0))</f>
        <v/>
      </c>
      <c r="Q35" s="5" t="inlineStr">
        <is>
          <t>N</t>
        </is>
      </c>
      <c r="R35" s="5" t="inlineStr">
        <is>
          <t>none: bracket r</t>
        </is>
      </c>
      <c r="S35" s="12">
        <f>IF(C35="A",'Run grid'!$B$4,IF(C35="B",'Run grid'!$B$6,'Run grid'!$B$8))</f>
        <v/>
      </c>
      <c r="T35" s="9">
        <f>S35*'Run grid'!$B$22</f>
        <v/>
      </c>
      <c r="U35" s="5" t="inlineStr">
        <is>
          <t>Reference: molecular gas without Penning</t>
        </is>
      </c>
      <c r="V35" s="5" t="inlineStr">
        <is>
          <t>Poor quencher</t>
        </is>
      </c>
      <c r="W35" s="5" t="n"/>
    </row>
    <row r="36">
      <c r="A36" s="5" t="inlineStr">
        <is>
          <t>B32</t>
        </is>
      </c>
      <c r="B36" s="5" t="inlineStr">
        <is>
          <t>Ar:N2</t>
        </is>
      </c>
      <c r="C36" s="6" t="inlineStr">
        <is>
          <t>C</t>
        </is>
      </c>
      <c r="D36" s="5" t="inlineStr">
        <is>
          <t>Ar:N2 90:10</t>
        </is>
      </c>
      <c r="E36" s="7" t="inlineStr">
        <is>
          <t>n2</t>
        </is>
      </c>
      <c r="F36" s="8" t="n">
        <v>10</v>
      </c>
      <c r="G36" s="7" t="n"/>
      <c r="H36" s="8" t="n"/>
      <c r="I36" s="7" t="n"/>
      <c r="J36" s="8" t="n"/>
      <c r="K36" s="9">
        <f>100-F36-H36-J36</f>
        <v/>
      </c>
      <c r="L36" s="10">
        <f>(K36*INDEX(Components!$D$2:$D$17,MATCH("ar",Components!$A$2:$A$17,0))+IF(E36="",0,F36*INDEX(Components!$D$2:$D$17,MATCH(E36,Components!$A$2:$A$17,0)))+IF(G36="",0,H36*INDEX(Components!$D$2:$D$17,MATCH(G36,Components!$A$2:$A$17,0)))+IF(I36="",0,J36*INDEX(Components!$D$2:$D$17,MATCH(I36,Components!$A$2:$A$17,0))))/100</f>
        <v/>
      </c>
      <c r="M36" s="11">
        <f>K36*INDEX(Components!$D$2:$D$17,MATCH("ar",Components!$A$2:$A$17,0))/(K36*INDEX(Components!$D$2:$D$17,MATCH("ar",Components!$A$2:$A$17,0))+IF(E36="",0,F36*INDEX(Components!$D$2:$D$17,MATCH(E36,Components!$A$2:$A$17,0)))+IF(G36="",0,H36*INDEX(Components!$D$2:$D$17,MATCH(G36,Components!$A$2:$A$17,0)))+IF(I36="",0,J36*INDEX(Components!$D$2:$D$17,MATCH(I36,Components!$A$2:$A$17,0))))</f>
        <v/>
      </c>
      <c r="N36" s="10">
        <f>MIN(15.76,IF(E36="",99,INDEX(Components!$E$2:$E$17,MATCH(E36,Components!$A$2:$A$17,0))),IF(G36="",99,INDEX(Components!$E$2:$E$17,MATCH(G36,Components!$A$2:$A$17,0))),IF(I36="",99,INDEX(Components!$E$2:$E$17,MATCH(I36,Components!$A$2:$A$17,0))))</f>
        <v/>
      </c>
      <c r="O36" s="5">
        <f>IF(N36&lt;11.55,"4s, 4p and higher",IF(N36&lt;12.91,"4p and higher",IF(N36&lt;13.85,"3d/5s and higher",IF(N36&lt;15.76,"high Rydberg only","none"))))</f>
        <v/>
      </c>
      <c r="P36" s="9">
        <f>IF(E36="",0,IF(INDEX(Components!$F$2:$F$17,MATCH(E36,Components!$A$2:$A$17,0))&gt;0,F36,0))+IF(G36="",0,IF(INDEX(Components!$F$2:$F$17,MATCH(G36,Components!$A$2:$A$17,0))&gt;0,H36,0))+IF(I36="",0,IF(INDEX(Components!$F$2:$F$17,MATCH(I36,Components!$A$2:$A$17,0))&gt;0,J36,0))</f>
        <v/>
      </c>
      <c r="Q36" s="5" t="inlineStr">
        <is>
          <t>N</t>
        </is>
      </c>
      <c r="R36" s="5" t="inlineStr">
        <is>
          <t>none: bracket r</t>
        </is>
      </c>
      <c r="S36" s="12">
        <f>IF(C36="A",'Run grid'!$B$4,IF(C36="B",'Run grid'!$B$6,'Run grid'!$B$8))</f>
        <v/>
      </c>
      <c r="T36" s="9">
        <f>S36*'Run grid'!$B$22</f>
        <v/>
      </c>
      <c r="U36" s="5" t="inlineStr">
        <is>
          <t>Reference: molecular gas without Penning</t>
        </is>
      </c>
      <c r="V36" s="5" t="inlineStr">
        <is>
          <t>Poor quencher</t>
        </is>
      </c>
      <c r="W36" s="5" t="n"/>
    </row>
    <row r="37">
      <c r="A37" s="5" t="inlineStr">
        <is>
          <t>B33</t>
        </is>
      </c>
      <c r="B37" s="5" t="inlineStr">
        <is>
          <t>Ar:H2</t>
        </is>
      </c>
      <c r="C37" s="6" t="inlineStr">
        <is>
          <t>C</t>
        </is>
      </c>
      <c r="D37" s="5" t="inlineStr">
        <is>
          <t>Ar:H2 98:2</t>
        </is>
      </c>
      <c r="E37" s="7" t="inlineStr">
        <is>
          <t>h2</t>
        </is>
      </c>
      <c r="F37" s="8" t="n">
        <v>2</v>
      </c>
      <c r="G37" s="7" t="n"/>
      <c r="H37" s="8" t="n"/>
      <c r="I37" s="7" t="n"/>
      <c r="J37" s="8" t="n"/>
      <c r="K37" s="9">
        <f>100-F37-H37-J37</f>
        <v/>
      </c>
      <c r="L37" s="10">
        <f>(K37*INDEX(Components!$D$2:$D$17,MATCH("ar",Components!$A$2:$A$17,0))+IF(E37="",0,F37*INDEX(Components!$D$2:$D$17,MATCH(E37,Components!$A$2:$A$17,0)))+IF(G37="",0,H37*INDEX(Components!$D$2:$D$17,MATCH(G37,Components!$A$2:$A$17,0)))+IF(I37="",0,J37*INDEX(Components!$D$2:$D$17,MATCH(I37,Components!$A$2:$A$17,0))))/100</f>
        <v/>
      </c>
      <c r="M37" s="11">
        <f>K37*INDEX(Components!$D$2:$D$17,MATCH("ar",Components!$A$2:$A$17,0))/(K37*INDEX(Components!$D$2:$D$17,MATCH("ar",Components!$A$2:$A$17,0))+IF(E37="",0,F37*INDEX(Components!$D$2:$D$17,MATCH(E37,Components!$A$2:$A$17,0)))+IF(G37="",0,H37*INDEX(Components!$D$2:$D$17,MATCH(G37,Components!$A$2:$A$17,0)))+IF(I37="",0,J37*INDEX(Components!$D$2:$D$17,MATCH(I37,Components!$A$2:$A$17,0))))</f>
        <v/>
      </c>
      <c r="N37" s="10">
        <f>MIN(15.76,IF(E37="",99,INDEX(Components!$E$2:$E$17,MATCH(E37,Components!$A$2:$A$17,0))),IF(G37="",99,INDEX(Components!$E$2:$E$17,MATCH(G37,Components!$A$2:$A$17,0))),IF(I37="",99,INDEX(Components!$E$2:$E$17,MATCH(I37,Components!$A$2:$A$17,0))))</f>
        <v/>
      </c>
      <c r="O37" s="5">
        <f>IF(N37&lt;11.55,"4s, 4p and higher",IF(N37&lt;12.91,"4p and higher",IF(N37&lt;13.85,"3d/5s and higher",IF(N37&lt;15.76,"high Rydberg only","none"))))</f>
        <v/>
      </c>
      <c r="P37" s="9">
        <f>IF(E37="",0,IF(INDEX(Components!$F$2:$F$17,MATCH(E37,Components!$A$2:$A$17,0))&gt;0,F37,0))+IF(G37="",0,IF(INDEX(Components!$F$2:$F$17,MATCH(G37,Components!$A$2:$A$17,0))&gt;0,H37,0))+IF(I37="",0,IF(INDEX(Components!$F$2:$F$17,MATCH(I37,Components!$A$2:$A$17,0))&gt;0,J37,0))</f>
        <v/>
      </c>
      <c r="Q37" s="5" t="inlineStr">
        <is>
          <t>H</t>
        </is>
      </c>
      <c r="R37" s="5" t="inlineStr">
        <is>
          <t>none: bracket r</t>
        </is>
      </c>
      <c r="S37" s="12">
        <f>IF(C37="A",'Run grid'!$B$4,IF(C37="B",'Run grid'!$B$6,'Run grid'!$B$8))</f>
        <v/>
      </c>
      <c r="T37" s="9">
        <f>S37*'Run grid'!$B$22</f>
        <v/>
      </c>
      <c r="U37" s="5" t="inlineStr">
        <is>
          <t>Free-proton target; no Penning</t>
        </is>
      </c>
      <c r="V37" s="5" t="inlineStr">
        <is>
          <t>Poor quencher; flammable</t>
        </is>
      </c>
      <c r="W37" s="5" t="n"/>
    </row>
    <row r="38">
      <c r="A38" s="5" t="inlineStr">
        <is>
          <t>B34</t>
        </is>
      </c>
      <c r="B38" s="5" t="inlineStr">
        <is>
          <t>Ar:H2</t>
        </is>
      </c>
      <c r="C38" s="6" t="inlineStr">
        <is>
          <t>C</t>
        </is>
      </c>
      <c r="D38" s="5" t="inlineStr">
        <is>
          <t>Ar:H2 95:5</t>
        </is>
      </c>
      <c r="E38" s="7" t="inlineStr">
        <is>
          <t>h2</t>
        </is>
      </c>
      <c r="F38" s="8" t="n">
        <v>5</v>
      </c>
      <c r="G38" s="7" t="n"/>
      <c r="H38" s="8" t="n"/>
      <c r="I38" s="7" t="n"/>
      <c r="J38" s="8" t="n"/>
      <c r="K38" s="9">
        <f>100-F38-H38-J38</f>
        <v/>
      </c>
      <c r="L38" s="10">
        <f>(K38*INDEX(Components!$D$2:$D$17,MATCH("ar",Components!$A$2:$A$17,0))+IF(E38="",0,F38*INDEX(Components!$D$2:$D$17,MATCH(E38,Components!$A$2:$A$17,0)))+IF(G38="",0,H38*INDEX(Components!$D$2:$D$17,MATCH(G38,Components!$A$2:$A$17,0)))+IF(I38="",0,J38*INDEX(Components!$D$2:$D$17,MATCH(I38,Components!$A$2:$A$17,0))))/100</f>
        <v/>
      </c>
      <c r="M38" s="11">
        <f>K38*INDEX(Components!$D$2:$D$17,MATCH("ar",Components!$A$2:$A$17,0))/(K38*INDEX(Components!$D$2:$D$17,MATCH("ar",Components!$A$2:$A$17,0))+IF(E38="",0,F38*INDEX(Components!$D$2:$D$17,MATCH(E38,Components!$A$2:$A$17,0)))+IF(G38="",0,H38*INDEX(Components!$D$2:$D$17,MATCH(G38,Components!$A$2:$A$17,0)))+IF(I38="",0,J38*INDEX(Components!$D$2:$D$17,MATCH(I38,Components!$A$2:$A$17,0))))</f>
        <v/>
      </c>
      <c r="N38" s="10">
        <f>MIN(15.76,IF(E38="",99,INDEX(Components!$E$2:$E$17,MATCH(E38,Components!$A$2:$A$17,0))),IF(G38="",99,INDEX(Components!$E$2:$E$17,MATCH(G38,Components!$A$2:$A$17,0))),IF(I38="",99,INDEX(Components!$E$2:$E$17,MATCH(I38,Components!$A$2:$A$17,0))))</f>
        <v/>
      </c>
      <c r="O38" s="5">
        <f>IF(N38&lt;11.55,"4s, 4p and higher",IF(N38&lt;12.91,"4p and higher",IF(N38&lt;13.85,"3d/5s and higher",IF(N38&lt;15.76,"high Rydberg only","none"))))</f>
        <v/>
      </c>
      <c r="P38" s="9">
        <f>IF(E38="",0,IF(INDEX(Components!$F$2:$F$17,MATCH(E38,Components!$A$2:$A$17,0))&gt;0,F38,0))+IF(G38="",0,IF(INDEX(Components!$F$2:$F$17,MATCH(G38,Components!$A$2:$A$17,0))&gt;0,H38,0))+IF(I38="",0,IF(INDEX(Components!$F$2:$F$17,MATCH(I38,Components!$A$2:$A$17,0))&gt;0,J38,0))</f>
        <v/>
      </c>
      <c r="Q38" s="5" t="inlineStr">
        <is>
          <t>H</t>
        </is>
      </c>
      <c r="R38" s="5" t="inlineStr">
        <is>
          <t>none: bracket r</t>
        </is>
      </c>
      <c r="S38" s="12">
        <f>IF(C38="A",'Run grid'!$B$4,IF(C38="B",'Run grid'!$B$6,'Run grid'!$B$8))</f>
        <v/>
      </c>
      <c r="T38" s="9">
        <f>S38*'Run grid'!$B$22</f>
        <v/>
      </c>
      <c r="U38" s="5" t="inlineStr">
        <is>
          <t>Free-proton target; no Penning</t>
        </is>
      </c>
      <c r="V38" s="5" t="inlineStr">
        <is>
          <t>Poor quencher; flammable</t>
        </is>
      </c>
      <c r="W38" s="5" t="n"/>
    </row>
    <row r="39">
      <c r="A39" s="5" t="inlineStr">
        <is>
          <t>N01</t>
        </is>
      </c>
      <c r="B39" s="5" t="inlineStr">
        <is>
          <t>Ar:Ne:CH4</t>
        </is>
      </c>
      <c r="C39" s="13" t="inlineStr">
        <is>
          <t>A</t>
        </is>
      </c>
      <c r="D39" s="5" t="inlineStr">
        <is>
          <t>Ar:Ne:CH4 90:5:5</t>
        </is>
      </c>
      <c r="E39" s="7" t="inlineStr">
        <is>
          <t>ne</t>
        </is>
      </c>
      <c r="F39" s="8" t="n">
        <v>5</v>
      </c>
      <c r="G39" s="7" t="inlineStr">
        <is>
          <t>ch4</t>
        </is>
      </c>
      <c r="H39" s="8" t="n">
        <v>5</v>
      </c>
      <c r="I39" s="7" t="n"/>
      <c r="J39" s="8" t="n"/>
      <c r="K39" s="9">
        <f>100-F39-H39-J39</f>
        <v/>
      </c>
      <c r="L39" s="10">
        <f>(K39*INDEX(Components!$D$2:$D$17,MATCH("ar",Components!$A$2:$A$17,0))+IF(E39="",0,F39*INDEX(Components!$D$2:$D$17,MATCH(E39,Components!$A$2:$A$17,0)))+IF(G39="",0,H39*INDEX(Components!$D$2:$D$17,MATCH(G39,Components!$A$2:$A$17,0)))+IF(I39="",0,J39*INDEX(Components!$D$2:$D$17,MATCH(I39,Components!$A$2:$A$17,0))))/100</f>
        <v/>
      </c>
      <c r="M39" s="11">
        <f>K39*INDEX(Components!$D$2:$D$17,MATCH("ar",Components!$A$2:$A$17,0))/(K39*INDEX(Components!$D$2:$D$17,MATCH("ar",Components!$A$2:$A$17,0))+IF(E39="",0,F39*INDEX(Components!$D$2:$D$17,MATCH(E39,Components!$A$2:$A$17,0)))+IF(G39="",0,H39*INDEX(Components!$D$2:$D$17,MATCH(G39,Components!$A$2:$A$17,0)))+IF(I39="",0,J39*INDEX(Components!$D$2:$D$17,MATCH(I39,Components!$A$2:$A$17,0))))</f>
        <v/>
      </c>
      <c r="N39" s="10">
        <f>MIN(15.76,IF(E39="",99,INDEX(Components!$E$2:$E$17,MATCH(E39,Components!$A$2:$A$17,0))),IF(G39="",99,INDEX(Components!$E$2:$E$17,MATCH(G39,Components!$A$2:$A$17,0))),IF(I39="",99,INDEX(Components!$E$2:$E$17,MATCH(I39,Components!$A$2:$A$17,0))))</f>
        <v/>
      </c>
      <c r="O39" s="5">
        <f>IF(N39&lt;11.55,"4s, 4p and higher",IF(N39&lt;12.91,"4p and higher",IF(N39&lt;13.85,"3d/5s and higher",IF(N39&lt;15.76,"high Rydberg only","none"))))</f>
        <v/>
      </c>
      <c r="P39" s="9">
        <f>IF(E39="",0,IF(INDEX(Components!$F$2:$F$17,MATCH(E39,Components!$A$2:$A$17,0))&gt;0,F39,0))+IF(G39="",0,IF(INDEX(Components!$F$2:$F$17,MATCH(G39,Components!$A$2:$A$17,0))&gt;0,H39,0))+IF(I39="",0,IF(INDEX(Components!$F$2:$F$17,MATCH(I39,Components!$A$2:$A$17,0))&gt;0,J39,0))</f>
        <v/>
      </c>
      <c r="Q39" s="5" t="inlineStr">
        <is>
          <t>Ne, H, C</t>
        </is>
      </c>
      <c r="R39" s="5" t="inlineStr">
        <is>
          <t>none for ternaries: bracket r</t>
        </is>
      </c>
      <c r="S39" s="12">
        <f>IF(C39="A",'Run grid'!$B$4,IF(C39="B",'Run grid'!$B$6,'Run grid'!$B$8))</f>
        <v/>
      </c>
      <c r="T39" s="9">
        <f>S39*'Run grid'!$B$22</f>
        <v/>
      </c>
      <c r="U39" s="5" t="inlineStr">
        <is>
          <t>Does Ne raise alpha? Compare B03 (95:5) and B05 (90:10)</t>
        </is>
      </c>
      <c r="V39" s="5" t="n"/>
      <c r="W39" s="5" t="n"/>
    </row>
    <row r="40">
      <c r="A40" s="5" t="inlineStr">
        <is>
          <t>N02</t>
        </is>
      </c>
      <c r="B40" s="5" t="inlineStr">
        <is>
          <t>Ar:He:CH4</t>
        </is>
      </c>
      <c r="C40" s="13" t="inlineStr">
        <is>
          <t>A</t>
        </is>
      </c>
      <c r="D40" s="5" t="inlineStr">
        <is>
          <t>Ar:He:CH4 90:5:5</t>
        </is>
      </c>
      <c r="E40" s="7" t="inlineStr">
        <is>
          <t>he</t>
        </is>
      </c>
      <c r="F40" s="8" t="n">
        <v>5</v>
      </c>
      <c r="G40" s="7" t="inlineStr">
        <is>
          <t>ch4</t>
        </is>
      </c>
      <c r="H40" s="8" t="n">
        <v>5</v>
      </c>
      <c r="I40" s="7" t="n"/>
      <c r="J40" s="8" t="n"/>
      <c r="K40" s="9">
        <f>100-F40-H40-J40</f>
        <v/>
      </c>
      <c r="L40" s="10">
        <f>(K40*INDEX(Components!$D$2:$D$17,MATCH("ar",Components!$A$2:$A$17,0))+IF(E40="",0,F40*INDEX(Components!$D$2:$D$17,MATCH(E40,Components!$A$2:$A$17,0)))+IF(G40="",0,H40*INDEX(Components!$D$2:$D$17,MATCH(G40,Components!$A$2:$A$17,0)))+IF(I40="",0,J40*INDEX(Components!$D$2:$D$17,MATCH(I40,Components!$A$2:$A$17,0))))/100</f>
        <v/>
      </c>
      <c r="M40" s="11">
        <f>K40*INDEX(Components!$D$2:$D$17,MATCH("ar",Components!$A$2:$A$17,0))/(K40*INDEX(Components!$D$2:$D$17,MATCH("ar",Components!$A$2:$A$17,0))+IF(E40="",0,F40*INDEX(Components!$D$2:$D$17,MATCH(E40,Components!$A$2:$A$17,0)))+IF(G40="",0,H40*INDEX(Components!$D$2:$D$17,MATCH(G40,Components!$A$2:$A$17,0)))+IF(I40="",0,J40*INDEX(Components!$D$2:$D$17,MATCH(I40,Components!$A$2:$A$17,0))))</f>
        <v/>
      </c>
      <c r="N40" s="10">
        <f>MIN(15.76,IF(E40="",99,INDEX(Components!$E$2:$E$17,MATCH(E40,Components!$A$2:$A$17,0))),IF(G40="",99,INDEX(Components!$E$2:$E$17,MATCH(G40,Components!$A$2:$A$17,0))),IF(I40="",99,INDEX(Components!$E$2:$E$17,MATCH(I40,Components!$A$2:$A$17,0))))</f>
        <v/>
      </c>
      <c r="O40" s="5">
        <f>IF(N40&lt;11.55,"4s, 4p and higher",IF(N40&lt;12.91,"4p and higher",IF(N40&lt;13.85,"3d/5s and higher",IF(N40&lt;15.76,"high Rydberg only","none"))))</f>
        <v/>
      </c>
      <c r="P40" s="9">
        <f>IF(E40="",0,IF(INDEX(Components!$F$2:$F$17,MATCH(E40,Components!$A$2:$A$17,0))&gt;0,F40,0))+IF(G40="",0,IF(INDEX(Components!$F$2:$F$17,MATCH(G40,Components!$A$2:$A$17,0))&gt;0,H40,0))+IF(I40="",0,IF(INDEX(Components!$F$2:$F$17,MATCH(I40,Components!$A$2:$A$17,0))&gt;0,J40,0))</f>
        <v/>
      </c>
      <c r="Q40" s="5" t="inlineStr">
        <is>
          <t>He, H, C</t>
        </is>
      </c>
      <c r="R40" s="5" t="inlineStr">
        <is>
          <t>none for ternaries: bracket r</t>
        </is>
      </c>
      <c r="S40" s="12">
        <f>IF(C40="A",'Run grid'!$B$4,IF(C40="B",'Run grid'!$B$6,'Run grid'!$B$8))</f>
        <v/>
      </c>
      <c r="T40" s="9">
        <f>S40*'Run grid'!$B$22</f>
        <v/>
      </c>
      <c r="U40" s="5" t="inlineStr">
        <is>
          <t>Does He raise alpha? Compare B03 and B05</t>
        </is>
      </c>
      <c r="V40" s="5" t="n"/>
      <c r="W40" s="5" t="n"/>
    </row>
    <row r="41">
      <c r="A41" s="5" t="inlineStr">
        <is>
          <t>N03</t>
        </is>
      </c>
      <c r="B41" s="5" t="inlineStr">
        <is>
          <t>Ar:Ne:CH4</t>
        </is>
      </c>
      <c r="C41" s="14" t="inlineStr">
        <is>
          <t>B</t>
        </is>
      </c>
      <c r="D41" s="5" t="inlineStr">
        <is>
          <t>Ar:Ne:CH4 92:5:3</t>
        </is>
      </c>
      <c r="E41" s="7" t="inlineStr">
        <is>
          <t>ne</t>
        </is>
      </c>
      <c r="F41" s="8" t="n">
        <v>5</v>
      </c>
      <c r="G41" s="7" t="inlineStr">
        <is>
          <t>ch4</t>
        </is>
      </c>
      <c r="H41" s="8" t="n">
        <v>3</v>
      </c>
      <c r="I41" s="7" t="n"/>
      <c r="J41" s="8" t="n"/>
      <c r="K41" s="9">
        <f>100-F41-H41-J41</f>
        <v/>
      </c>
      <c r="L41" s="10">
        <f>(K41*INDEX(Components!$D$2:$D$17,MATCH("ar",Components!$A$2:$A$17,0))+IF(E41="",0,F41*INDEX(Components!$D$2:$D$17,MATCH(E41,Components!$A$2:$A$17,0)))+IF(G41="",0,H41*INDEX(Components!$D$2:$D$17,MATCH(G41,Components!$A$2:$A$17,0)))+IF(I41="",0,J41*INDEX(Components!$D$2:$D$17,MATCH(I41,Components!$A$2:$A$17,0))))/100</f>
        <v/>
      </c>
      <c r="M41" s="11">
        <f>K41*INDEX(Components!$D$2:$D$17,MATCH("ar",Components!$A$2:$A$17,0))/(K41*INDEX(Components!$D$2:$D$17,MATCH("ar",Components!$A$2:$A$17,0))+IF(E41="",0,F41*INDEX(Components!$D$2:$D$17,MATCH(E41,Components!$A$2:$A$17,0)))+IF(G41="",0,H41*INDEX(Components!$D$2:$D$17,MATCH(G41,Components!$A$2:$A$17,0)))+IF(I41="",0,J41*INDEX(Components!$D$2:$D$17,MATCH(I41,Components!$A$2:$A$17,0))))</f>
        <v/>
      </c>
      <c r="N41" s="10">
        <f>MIN(15.76,IF(E41="",99,INDEX(Components!$E$2:$E$17,MATCH(E41,Components!$A$2:$A$17,0))),IF(G41="",99,INDEX(Components!$E$2:$E$17,MATCH(G41,Components!$A$2:$A$17,0))),IF(I41="",99,INDEX(Components!$E$2:$E$17,MATCH(I41,Components!$A$2:$A$17,0))))</f>
        <v/>
      </c>
      <c r="O41" s="5">
        <f>IF(N41&lt;11.55,"4s, 4p and higher",IF(N41&lt;12.91,"4p and higher",IF(N41&lt;13.85,"3d/5s and higher",IF(N41&lt;15.76,"high Rydberg only","none"))))</f>
        <v/>
      </c>
      <c r="P41" s="9">
        <f>IF(E41="",0,IF(INDEX(Components!$F$2:$F$17,MATCH(E41,Components!$A$2:$A$17,0))&gt;0,F41,0))+IF(G41="",0,IF(INDEX(Components!$F$2:$F$17,MATCH(G41,Components!$A$2:$A$17,0))&gt;0,H41,0))+IF(I41="",0,IF(INDEX(Components!$F$2:$F$17,MATCH(I41,Components!$A$2:$A$17,0))&gt;0,J41,0))</f>
        <v/>
      </c>
      <c r="Q41" s="5" t="inlineStr">
        <is>
          <t>Ne, H, C</t>
        </is>
      </c>
      <c r="R41" s="5" t="inlineStr">
        <is>
          <t>none for ternaries: bracket r</t>
        </is>
      </c>
      <c r="S41" s="12">
        <f>IF(C41="A",'Run grid'!$B$4,IF(C41="B",'Run grid'!$B$6,'Run grid'!$B$8))</f>
        <v/>
      </c>
      <c r="T41" s="9">
        <f>S41*'Run grid'!$B$22</f>
        <v/>
      </c>
      <c r="U41" s="5" t="inlineStr">
        <is>
          <t>Ne with less quencher</t>
        </is>
      </c>
      <c r="V41" s="5" t="n"/>
      <c r="W41" s="5" t="n"/>
    </row>
    <row r="42">
      <c r="A42" s="5" t="inlineStr">
        <is>
          <t>N04</t>
        </is>
      </c>
      <c r="B42" s="5" t="inlineStr">
        <is>
          <t>Ar:He:CH4</t>
        </is>
      </c>
      <c r="C42" s="6" t="inlineStr">
        <is>
          <t>C</t>
        </is>
      </c>
      <c r="D42" s="5" t="inlineStr">
        <is>
          <t>Ar:He:CH4 92:5:3</t>
        </is>
      </c>
      <c r="E42" s="7" t="inlineStr">
        <is>
          <t>he</t>
        </is>
      </c>
      <c r="F42" s="8" t="n">
        <v>5</v>
      </c>
      <c r="G42" s="7" t="inlineStr">
        <is>
          <t>ch4</t>
        </is>
      </c>
      <c r="H42" s="8" t="n">
        <v>3</v>
      </c>
      <c r="I42" s="7" t="n"/>
      <c r="J42" s="8" t="n"/>
      <c r="K42" s="9">
        <f>100-F42-H42-J42</f>
        <v/>
      </c>
      <c r="L42" s="10">
        <f>(K42*INDEX(Components!$D$2:$D$17,MATCH("ar",Components!$A$2:$A$17,0))+IF(E42="",0,F42*INDEX(Components!$D$2:$D$17,MATCH(E42,Components!$A$2:$A$17,0)))+IF(G42="",0,H42*INDEX(Components!$D$2:$D$17,MATCH(G42,Components!$A$2:$A$17,0)))+IF(I42="",0,J42*INDEX(Components!$D$2:$D$17,MATCH(I42,Components!$A$2:$A$17,0))))/100</f>
        <v/>
      </c>
      <c r="M42" s="11">
        <f>K42*INDEX(Components!$D$2:$D$17,MATCH("ar",Components!$A$2:$A$17,0))/(K42*INDEX(Components!$D$2:$D$17,MATCH("ar",Components!$A$2:$A$17,0))+IF(E42="",0,F42*INDEX(Components!$D$2:$D$17,MATCH(E42,Components!$A$2:$A$17,0)))+IF(G42="",0,H42*INDEX(Components!$D$2:$D$17,MATCH(G42,Components!$A$2:$A$17,0)))+IF(I42="",0,J42*INDEX(Components!$D$2:$D$17,MATCH(I42,Components!$A$2:$A$17,0))))</f>
        <v/>
      </c>
      <c r="N42" s="10">
        <f>MIN(15.76,IF(E42="",99,INDEX(Components!$E$2:$E$17,MATCH(E42,Components!$A$2:$A$17,0))),IF(G42="",99,INDEX(Components!$E$2:$E$17,MATCH(G42,Components!$A$2:$A$17,0))),IF(I42="",99,INDEX(Components!$E$2:$E$17,MATCH(I42,Components!$A$2:$A$17,0))))</f>
        <v/>
      </c>
      <c r="O42" s="5">
        <f>IF(N42&lt;11.55,"4s, 4p and higher",IF(N42&lt;12.91,"4p and higher",IF(N42&lt;13.85,"3d/5s and higher",IF(N42&lt;15.76,"high Rydberg only","none"))))</f>
        <v/>
      </c>
      <c r="P42" s="9">
        <f>IF(E42="",0,IF(INDEX(Components!$F$2:$F$17,MATCH(E42,Components!$A$2:$A$17,0))&gt;0,F42,0))+IF(G42="",0,IF(INDEX(Components!$F$2:$F$17,MATCH(G42,Components!$A$2:$A$17,0))&gt;0,H42,0))+IF(I42="",0,IF(INDEX(Components!$F$2:$F$17,MATCH(I42,Components!$A$2:$A$17,0))&gt;0,J42,0))</f>
        <v/>
      </c>
      <c r="Q42" s="5" t="inlineStr">
        <is>
          <t>He, H, C</t>
        </is>
      </c>
      <c r="R42" s="5" t="inlineStr">
        <is>
          <t>none for ternaries: bracket r</t>
        </is>
      </c>
      <c r="S42" s="12">
        <f>IF(C42="A",'Run grid'!$B$4,IF(C42="B",'Run grid'!$B$6,'Run grid'!$B$8))</f>
        <v/>
      </c>
      <c r="T42" s="9">
        <f>S42*'Run grid'!$B$22</f>
        <v/>
      </c>
      <c r="U42" s="5" t="inlineStr">
        <is>
          <t>He with less quencher</t>
        </is>
      </c>
      <c r="V42" s="5" t="n"/>
      <c r="W42" s="5" t="n"/>
    </row>
    <row r="43">
      <c r="A43" s="5" t="inlineStr">
        <is>
          <t>N05</t>
        </is>
      </c>
      <c r="B43" s="5" t="inlineStr">
        <is>
          <t>Ar:Ne:CO2</t>
        </is>
      </c>
      <c r="C43" s="14" t="inlineStr">
        <is>
          <t>B</t>
        </is>
      </c>
      <c r="D43" s="5" t="inlineStr">
        <is>
          <t>Ar:Ne:CO2 90:5:5</t>
        </is>
      </c>
      <c r="E43" s="7" t="inlineStr">
        <is>
          <t>ne</t>
        </is>
      </c>
      <c r="F43" s="8" t="n">
        <v>5</v>
      </c>
      <c r="G43" s="7" t="inlineStr">
        <is>
          <t>co2</t>
        </is>
      </c>
      <c r="H43" s="8" t="n">
        <v>5</v>
      </c>
      <c r="I43" s="7" t="n"/>
      <c r="J43" s="8" t="n"/>
      <c r="K43" s="9">
        <f>100-F43-H43-J43</f>
        <v/>
      </c>
      <c r="L43" s="10">
        <f>(K43*INDEX(Components!$D$2:$D$17,MATCH("ar",Components!$A$2:$A$17,0))+IF(E43="",0,F43*INDEX(Components!$D$2:$D$17,MATCH(E43,Components!$A$2:$A$17,0)))+IF(G43="",0,H43*INDEX(Components!$D$2:$D$17,MATCH(G43,Components!$A$2:$A$17,0)))+IF(I43="",0,J43*INDEX(Components!$D$2:$D$17,MATCH(I43,Components!$A$2:$A$17,0))))/100</f>
        <v/>
      </c>
      <c r="M43" s="11">
        <f>K43*INDEX(Components!$D$2:$D$17,MATCH("ar",Components!$A$2:$A$17,0))/(K43*INDEX(Components!$D$2:$D$17,MATCH("ar",Components!$A$2:$A$17,0))+IF(E43="",0,F43*INDEX(Components!$D$2:$D$17,MATCH(E43,Components!$A$2:$A$17,0)))+IF(G43="",0,H43*INDEX(Components!$D$2:$D$17,MATCH(G43,Components!$A$2:$A$17,0)))+IF(I43="",0,J43*INDEX(Components!$D$2:$D$17,MATCH(I43,Components!$A$2:$A$17,0))))</f>
        <v/>
      </c>
      <c r="N43" s="10">
        <f>MIN(15.76,IF(E43="",99,INDEX(Components!$E$2:$E$17,MATCH(E43,Components!$A$2:$A$17,0))),IF(G43="",99,INDEX(Components!$E$2:$E$17,MATCH(G43,Components!$A$2:$A$17,0))),IF(I43="",99,INDEX(Components!$E$2:$E$17,MATCH(I43,Components!$A$2:$A$17,0))))</f>
        <v/>
      </c>
      <c r="O43" s="5">
        <f>IF(N43&lt;11.55,"4s, 4p and higher",IF(N43&lt;12.91,"4p and higher",IF(N43&lt;13.85,"3d/5s and higher",IF(N43&lt;15.76,"high Rydberg only","none"))))</f>
        <v/>
      </c>
      <c r="P43" s="9">
        <f>IF(E43="",0,IF(INDEX(Components!$F$2:$F$17,MATCH(E43,Components!$A$2:$A$17,0))&gt;0,F43,0))+IF(G43="",0,IF(INDEX(Components!$F$2:$F$17,MATCH(G43,Components!$A$2:$A$17,0))&gt;0,H43,0))+IF(I43="",0,IF(INDEX(Components!$F$2:$F$17,MATCH(I43,Components!$A$2:$A$17,0))&gt;0,J43,0))</f>
        <v/>
      </c>
      <c r="Q43" s="5" t="inlineStr">
        <is>
          <t>Ne, C, O</t>
        </is>
      </c>
      <c r="R43" s="5" t="inlineStr">
        <is>
          <t>none for ternaries: bracket r</t>
        </is>
      </c>
      <c r="S43" s="12">
        <f>IF(C43="A",'Run grid'!$B$4,IF(C43="B",'Run grid'!$B$6,'Run grid'!$B$8))</f>
        <v/>
      </c>
      <c r="T43" s="9">
        <f>S43*'Run grid'!$B$22</f>
        <v/>
      </c>
      <c r="U43" s="5" t="inlineStr">
        <is>
          <t>Ne in the low-diffusion family</t>
        </is>
      </c>
      <c r="V43" s="5" t="n"/>
      <c r="W43" s="5" t="n"/>
    </row>
    <row r="44">
      <c r="A44" s="5" t="inlineStr">
        <is>
          <t>N06</t>
        </is>
      </c>
      <c r="B44" s="5" t="inlineStr">
        <is>
          <t>Ar:He:CO2</t>
        </is>
      </c>
      <c r="C44" s="14" t="inlineStr">
        <is>
          <t>B</t>
        </is>
      </c>
      <c r="D44" s="5" t="inlineStr">
        <is>
          <t>Ar:He:CO2 90:5:5</t>
        </is>
      </c>
      <c r="E44" s="7" t="inlineStr">
        <is>
          <t>he</t>
        </is>
      </c>
      <c r="F44" s="8" t="n">
        <v>5</v>
      </c>
      <c r="G44" s="7" t="inlineStr">
        <is>
          <t>co2</t>
        </is>
      </c>
      <c r="H44" s="8" t="n">
        <v>5</v>
      </c>
      <c r="I44" s="7" t="n"/>
      <c r="J44" s="8" t="n"/>
      <c r="K44" s="9">
        <f>100-F44-H44-J44</f>
        <v/>
      </c>
      <c r="L44" s="10">
        <f>(K44*INDEX(Components!$D$2:$D$17,MATCH("ar",Components!$A$2:$A$17,0))+IF(E44="",0,F44*INDEX(Components!$D$2:$D$17,MATCH(E44,Components!$A$2:$A$17,0)))+IF(G44="",0,H44*INDEX(Components!$D$2:$D$17,MATCH(G44,Components!$A$2:$A$17,0)))+IF(I44="",0,J44*INDEX(Components!$D$2:$D$17,MATCH(I44,Components!$A$2:$A$17,0))))/100</f>
        <v/>
      </c>
      <c r="M44" s="11">
        <f>K44*INDEX(Components!$D$2:$D$17,MATCH("ar",Components!$A$2:$A$17,0))/(K44*INDEX(Components!$D$2:$D$17,MATCH("ar",Components!$A$2:$A$17,0))+IF(E44="",0,F44*INDEX(Components!$D$2:$D$17,MATCH(E44,Components!$A$2:$A$17,0)))+IF(G44="",0,H44*INDEX(Components!$D$2:$D$17,MATCH(G44,Components!$A$2:$A$17,0)))+IF(I44="",0,J44*INDEX(Components!$D$2:$D$17,MATCH(I44,Components!$A$2:$A$17,0))))</f>
        <v/>
      </c>
      <c r="N44" s="10">
        <f>MIN(15.76,IF(E44="",99,INDEX(Components!$E$2:$E$17,MATCH(E44,Components!$A$2:$A$17,0))),IF(G44="",99,INDEX(Components!$E$2:$E$17,MATCH(G44,Components!$A$2:$A$17,0))),IF(I44="",99,INDEX(Components!$E$2:$E$17,MATCH(I44,Components!$A$2:$A$17,0))))</f>
        <v/>
      </c>
      <c r="O44" s="5">
        <f>IF(N44&lt;11.55,"4s, 4p and higher",IF(N44&lt;12.91,"4p and higher",IF(N44&lt;13.85,"3d/5s and higher",IF(N44&lt;15.76,"high Rydberg only","none"))))</f>
        <v/>
      </c>
      <c r="P44" s="9">
        <f>IF(E44="",0,IF(INDEX(Components!$F$2:$F$17,MATCH(E44,Components!$A$2:$A$17,0))&gt;0,F44,0))+IF(G44="",0,IF(INDEX(Components!$F$2:$F$17,MATCH(G44,Components!$A$2:$A$17,0))&gt;0,H44,0))+IF(I44="",0,IF(INDEX(Components!$F$2:$F$17,MATCH(I44,Components!$A$2:$A$17,0))&gt;0,J44,0))</f>
        <v/>
      </c>
      <c r="Q44" s="5" t="inlineStr">
        <is>
          <t>He, C, O</t>
        </is>
      </c>
      <c r="R44" s="5" t="inlineStr">
        <is>
          <t>none for ternaries: bracket r</t>
        </is>
      </c>
      <c r="S44" s="12">
        <f>IF(C44="A",'Run grid'!$B$4,IF(C44="B",'Run grid'!$B$6,'Run grid'!$B$8))</f>
        <v/>
      </c>
      <c r="T44" s="9">
        <f>S44*'Run grid'!$B$22</f>
        <v/>
      </c>
      <c r="U44" s="5" t="inlineStr">
        <is>
          <t>He in the low-diffusion family</t>
        </is>
      </c>
      <c r="V44" s="5" t="n"/>
      <c r="W44" s="5" t="n"/>
    </row>
    <row r="45">
      <c r="A45" s="5" t="inlineStr">
        <is>
          <t>N07</t>
        </is>
      </c>
      <c r="B45" s="5" t="inlineStr">
        <is>
          <t>Ar:Ne:CO2</t>
        </is>
      </c>
      <c r="C45" s="6" t="inlineStr">
        <is>
          <t>C</t>
        </is>
      </c>
      <c r="D45" s="5" t="inlineStr">
        <is>
          <t>Ar:Ne:CO2 92:5:3</t>
        </is>
      </c>
      <c r="E45" s="7" t="inlineStr">
        <is>
          <t>ne</t>
        </is>
      </c>
      <c r="F45" s="8" t="n">
        <v>5</v>
      </c>
      <c r="G45" s="7" t="inlineStr">
        <is>
          <t>co2</t>
        </is>
      </c>
      <c r="H45" s="8" t="n">
        <v>3</v>
      </c>
      <c r="I45" s="7" t="n"/>
      <c r="J45" s="8" t="n"/>
      <c r="K45" s="9">
        <f>100-F45-H45-J45</f>
        <v/>
      </c>
      <c r="L45" s="10">
        <f>(K45*INDEX(Components!$D$2:$D$17,MATCH("ar",Components!$A$2:$A$17,0))+IF(E45="",0,F45*INDEX(Components!$D$2:$D$17,MATCH(E45,Components!$A$2:$A$17,0)))+IF(G45="",0,H45*INDEX(Components!$D$2:$D$17,MATCH(G45,Components!$A$2:$A$17,0)))+IF(I45="",0,J45*INDEX(Components!$D$2:$D$17,MATCH(I45,Components!$A$2:$A$17,0))))/100</f>
        <v/>
      </c>
      <c r="M45" s="11">
        <f>K45*INDEX(Components!$D$2:$D$17,MATCH("ar",Components!$A$2:$A$17,0))/(K45*INDEX(Components!$D$2:$D$17,MATCH("ar",Components!$A$2:$A$17,0))+IF(E45="",0,F45*INDEX(Components!$D$2:$D$17,MATCH(E45,Components!$A$2:$A$17,0)))+IF(G45="",0,H45*INDEX(Components!$D$2:$D$17,MATCH(G45,Components!$A$2:$A$17,0)))+IF(I45="",0,J45*INDEX(Components!$D$2:$D$17,MATCH(I45,Components!$A$2:$A$17,0))))</f>
        <v/>
      </c>
      <c r="N45" s="10">
        <f>MIN(15.76,IF(E45="",99,INDEX(Components!$E$2:$E$17,MATCH(E45,Components!$A$2:$A$17,0))),IF(G45="",99,INDEX(Components!$E$2:$E$17,MATCH(G45,Components!$A$2:$A$17,0))),IF(I45="",99,INDEX(Components!$E$2:$E$17,MATCH(I45,Components!$A$2:$A$17,0))))</f>
        <v/>
      </c>
      <c r="O45" s="5">
        <f>IF(N45&lt;11.55,"4s, 4p and higher",IF(N45&lt;12.91,"4p and higher",IF(N45&lt;13.85,"3d/5s and higher",IF(N45&lt;15.76,"high Rydberg only","none"))))</f>
        <v/>
      </c>
      <c r="P45" s="9">
        <f>IF(E45="",0,IF(INDEX(Components!$F$2:$F$17,MATCH(E45,Components!$A$2:$A$17,0))&gt;0,F45,0))+IF(G45="",0,IF(INDEX(Components!$F$2:$F$17,MATCH(G45,Components!$A$2:$A$17,0))&gt;0,H45,0))+IF(I45="",0,IF(INDEX(Components!$F$2:$F$17,MATCH(I45,Components!$A$2:$A$17,0))&gt;0,J45,0))</f>
        <v/>
      </c>
      <c r="Q45" s="5" t="inlineStr">
        <is>
          <t>Ne, C, O</t>
        </is>
      </c>
      <c r="R45" s="5" t="inlineStr">
        <is>
          <t>none for ternaries: bracket r</t>
        </is>
      </c>
      <c r="S45" s="12">
        <f>IF(C45="A",'Run grid'!$B$4,IF(C45="B",'Run grid'!$B$6,'Run grid'!$B$8))</f>
        <v/>
      </c>
      <c r="T45" s="9">
        <f>S45*'Run grid'!$B$22</f>
        <v/>
      </c>
      <c r="U45" s="5" t="inlineStr">
        <is>
          <t>Ne with less CO2</t>
        </is>
      </c>
      <c r="V45" s="5" t="n"/>
      <c r="W45" s="5" t="n"/>
    </row>
    <row r="46">
      <c r="A46" s="5" t="inlineStr">
        <is>
          <t>N08</t>
        </is>
      </c>
      <c r="B46" s="5" t="inlineStr">
        <is>
          <t>Ar:Ne:iC4H10</t>
        </is>
      </c>
      <c r="C46" s="6" t="inlineStr">
        <is>
          <t>C</t>
        </is>
      </c>
      <c r="D46" s="5" t="inlineStr">
        <is>
          <t>Ar:Ne:iC4H10 93:5:2</t>
        </is>
      </c>
      <c r="E46" s="7" t="inlineStr">
        <is>
          <t>ne</t>
        </is>
      </c>
      <c r="F46" s="8" t="n">
        <v>5</v>
      </c>
      <c r="G46" s="7" t="inlineStr">
        <is>
          <t>ic4h10</t>
        </is>
      </c>
      <c r="H46" s="8" t="n">
        <v>2</v>
      </c>
      <c r="I46" s="7" t="n"/>
      <c r="J46" s="8" t="n"/>
      <c r="K46" s="9">
        <f>100-F46-H46-J46</f>
        <v/>
      </c>
      <c r="L46" s="10">
        <f>(K46*INDEX(Components!$D$2:$D$17,MATCH("ar",Components!$A$2:$A$17,0))+IF(E46="",0,F46*INDEX(Components!$D$2:$D$17,MATCH(E46,Components!$A$2:$A$17,0)))+IF(G46="",0,H46*INDEX(Components!$D$2:$D$17,MATCH(G46,Components!$A$2:$A$17,0)))+IF(I46="",0,J46*INDEX(Components!$D$2:$D$17,MATCH(I46,Components!$A$2:$A$17,0))))/100</f>
        <v/>
      </c>
      <c r="M46" s="11">
        <f>K46*INDEX(Components!$D$2:$D$17,MATCH("ar",Components!$A$2:$A$17,0))/(K46*INDEX(Components!$D$2:$D$17,MATCH("ar",Components!$A$2:$A$17,0))+IF(E46="",0,F46*INDEX(Components!$D$2:$D$17,MATCH(E46,Components!$A$2:$A$17,0)))+IF(G46="",0,H46*INDEX(Components!$D$2:$D$17,MATCH(G46,Components!$A$2:$A$17,0)))+IF(I46="",0,J46*INDEX(Components!$D$2:$D$17,MATCH(I46,Components!$A$2:$A$17,0))))</f>
        <v/>
      </c>
      <c r="N46" s="10">
        <f>MIN(15.76,IF(E46="",99,INDEX(Components!$E$2:$E$17,MATCH(E46,Components!$A$2:$A$17,0))),IF(G46="",99,INDEX(Components!$E$2:$E$17,MATCH(G46,Components!$A$2:$A$17,0))),IF(I46="",99,INDEX(Components!$E$2:$E$17,MATCH(I46,Components!$A$2:$A$17,0))))</f>
        <v/>
      </c>
      <c r="O46" s="5">
        <f>IF(N46&lt;11.55,"4s, 4p and higher",IF(N46&lt;12.91,"4p and higher",IF(N46&lt;13.85,"3d/5s and higher",IF(N46&lt;15.76,"high Rydberg only","none"))))</f>
        <v/>
      </c>
      <c r="P46" s="9">
        <f>IF(E46="",0,IF(INDEX(Components!$F$2:$F$17,MATCH(E46,Components!$A$2:$A$17,0))&gt;0,F46,0))+IF(G46="",0,IF(INDEX(Components!$F$2:$F$17,MATCH(G46,Components!$A$2:$A$17,0))&gt;0,H46,0))+IF(I46="",0,IF(INDEX(Components!$F$2:$F$17,MATCH(I46,Components!$A$2:$A$17,0))&gt;0,J46,0))</f>
        <v/>
      </c>
      <c r="Q46" s="5" t="inlineStr">
        <is>
          <t>Ne, H, C</t>
        </is>
      </c>
      <c r="R46" s="5" t="inlineStr">
        <is>
          <t>none for ternaries: bracket r</t>
        </is>
      </c>
      <c r="S46" s="12">
        <f>IF(C46="A",'Run grid'!$B$4,IF(C46="B",'Run grid'!$B$6,'Run grid'!$B$8))</f>
        <v/>
      </c>
      <c r="T46" s="9">
        <f>S46*'Run grid'!$B$22</f>
        <v/>
      </c>
      <c r="U46" s="5" t="inlineStr">
        <is>
          <t>Ne with a Penning donor</t>
        </is>
      </c>
      <c r="V46" s="5" t="inlineStr">
        <is>
          <t>Flammable</t>
        </is>
      </c>
      <c r="W46" s="5" t="n"/>
    </row>
    <row r="47">
      <c r="A47" s="5" t="inlineStr">
        <is>
          <t>N09</t>
        </is>
      </c>
      <c r="B47" s="5" t="inlineStr">
        <is>
          <t>Ar:Ne:CH4</t>
        </is>
      </c>
      <c r="C47" s="6" t="inlineStr">
        <is>
          <t>C</t>
        </is>
      </c>
      <c r="D47" s="5" t="inlineStr">
        <is>
          <t>Ar:Ne:CH4 90:7:3</t>
        </is>
      </c>
      <c r="E47" s="7" t="inlineStr">
        <is>
          <t>ne</t>
        </is>
      </c>
      <c r="F47" s="8" t="n">
        <v>7</v>
      </c>
      <c r="G47" s="7" t="inlineStr">
        <is>
          <t>ch4</t>
        </is>
      </c>
      <c r="H47" s="8" t="n">
        <v>3</v>
      </c>
      <c r="I47" s="7" t="n"/>
      <c r="J47" s="8" t="n"/>
      <c r="K47" s="9">
        <f>100-F47-H47-J47</f>
        <v/>
      </c>
      <c r="L47" s="10">
        <f>(K47*INDEX(Components!$D$2:$D$17,MATCH("ar",Components!$A$2:$A$17,0))+IF(E47="",0,F47*INDEX(Components!$D$2:$D$17,MATCH(E47,Components!$A$2:$A$17,0)))+IF(G47="",0,H47*INDEX(Components!$D$2:$D$17,MATCH(G47,Components!$A$2:$A$17,0)))+IF(I47="",0,J47*INDEX(Components!$D$2:$D$17,MATCH(I47,Components!$A$2:$A$17,0))))/100</f>
        <v/>
      </c>
      <c r="M47" s="11">
        <f>K47*INDEX(Components!$D$2:$D$17,MATCH("ar",Components!$A$2:$A$17,0))/(K47*INDEX(Components!$D$2:$D$17,MATCH("ar",Components!$A$2:$A$17,0))+IF(E47="",0,F47*INDEX(Components!$D$2:$D$17,MATCH(E47,Components!$A$2:$A$17,0)))+IF(G47="",0,H47*INDEX(Components!$D$2:$D$17,MATCH(G47,Components!$A$2:$A$17,0)))+IF(I47="",0,J47*INDEX(Components!$D$2:$D$17,MATCH(I47,Components!$A$2:$A$17,0))))</f>
        <v/>
      </c>
      <c r="N47" s="10">
        <f>MIN(15.76,IF(E47="",99,INDEX(Components!$E$2:$E$17,MATCH(E47,Components!$A$2:$A$17,0))),IF(G47="",99,INDEX(Components!$E$2:$E$17,MATCH(G47,Components!$A$2:$A$17,0))),IF(I47="",99,INDEX(Components!$E$2:$E$17,MATCH(I47,Components!$A$2:$A$17,0))))</f>
        <v/>
      </c>
      <c r="O47" s="5">
        <f>IF(N47&lt;11.55,"4s, 4p and higher",IF(N47&lt;12.91,"4p and higher",IF(N47&lt;13.85,"3d/5s and higher",IF(N47&lt;15.76,"high Rydberg only","none"))))</f>
        <v/>
      </c>
      <c r="P47" s="9">
        <f>IF(E47="",0,IF(INDEX(Components!$F$2:$F$17,MATCH(E47,Components!$A$2:$A$17,0))&gt;0,F47,0))+IF(G47="",0,IF(INDEX(Components!$F$2:$F$17,MATCH(G47,Components!$A$2:$A$17,0))&gt;0,H47,0))+IF(I47="",0,IF(INDEX(Components!$F$2:$F$17,MATCH(I47,Components!$A$2:$A$17,0))&gt;0,J47,0))</f>
        <v/>
      </c>
      <c r="Q47" s="5" t="inlineStr">
        <is>
          <t>Ne, H, C</t>
        </is>
      </c>
      <c r="R47" s="5" t="inlineStr">
        <is>
          <t>none for ternaries: bracket r</t>
        </is>
      </c>
      <c r="S47" s="12">
        <f>IF(C47="A",'Run grid'!$B$4,IF(C47="B",'Run grid'!$B$6,'Run grid'!$B$8))</f>
        <v/>
      </c>
      <c r="T47" s="9">
        <f>S47*'Run grid'!$B$22</f>
        <v/>
      </c>
      <c r="U47" s="5" t="inlineStr">
        <is>
          <t>Maximum Ne within 90 % Ar</t>
        </is>
      </c>
      <c r="V47" s="5" t="n"/>
      <c r="W47" s="5" t="n"/>
    </row>
    <row r="48">
      <c r="A48" s="5" t="inlineStr">
        <is>
          <t>P01</t>
        </is>
      </c>
      <c r="B48" s="5" t="inlineStr">
        <is>
          <t>Ar:CH4:iC4H10</t>
        </is>
      </c>
      <c r="C48" s="13" t="inlineStr">
        <is>
          <t>A</t>
        </is>
      </c>
      <c r="D48" s="5" t="inlineStr">
        <is>
          <t>Ar:CH4:iC4H10 94:5:1</t>
        </is>
      </c>
      <c r="E48" s="7" t="inlineStr">
        <is>
          <t>ch4</t>
        </is>
      </c>
      <c r="F48" s="8" t="n">
        <v>5</v>
      </c>
      <c r="G48" s="7" t="inlineStr">
        <is>
          <t>ic4h10</t>
        </is>
      </c>
      <c r="H48" s="8" t="n">
        <v>1</v>
      </c>
      <c r="I48" s="7" t="n"/>
      <c r="J48" s="8" t="n"/>
      <c r="K48" s="9">
        <f>100-F48-H48-J48</f>
        <v/>
      </c>
      <c r="L48" s="10">
        <f>(K48*INDEX(Components!$D$2:$D$17,MATCH("ar",Components!$A$2:$A$17,0))+IF(E48="",0,F48*INDEX(Components!$D$2:$D$17,MATCH(E48,Components!$A$2:$A$17,0)))+IF(G48="",0,H48*INDEX(Components!$D$2:$D$17,MATCH(G48,Components!$A$2:$A$17,0)))+IF(I48="",0,J48*INDEX(Components!$D$2:$D$17,MATCH(I48,Components!$A$2:$A$17,0))))/100</f>
        <v/>
      </c>
      <c r="M48" s="11">
        <f>K48*INDEX(Components!$D$2:$D$17,MATCH("ar",Components!$A$2:$A$17,0))/(K48*INDEX(Components!$D$2:$D$17,MATCH("ar",Components!$A$2:$A$17,0))+IF(E48="",0,F48*INDEX(Components!$D$2:$D$17,MATCH(E48,Components!$A$2:$A$17,0)))+IF(G48="",0,H48*INDEX(Components!$D$2:$D$17,MATCH(G48,Components!$A$2:$A$17,0)))+IF(I48="",0,J48*INDEX(Components!$D$2:$D$17,MATCH(I48,Components!$A$2:$A$17,0))))</f>
        <v/>
      </c>
      <c r="N48" s="10">
        <f>MIN(15.76,IF(E48="",99,INDEX(Components!$E$2:$E$17,MATCH(E48,Components!$A$2:$A$17,0))),IF(G48="",99,INDEX(Components!$E$2:$E$17,MATCH(G48,Components!$A$2:$A$17,0))),IF(I48="",99,INDEX(Components!$E$2:$E$17,MATCH(I48,Components!$A$2:$A$17,0))))</f>
        <v/>
      </c>
      <c r="O48" s="5">
        <f>IF(N48&lt;11.55,"4s, 4p and higher",IF(N48&lt;12.91,"4p and higher",IF(N48&lt;13.85,"3d/5s and higher",IF(N48&lt;15.76,"high Rydberg only","none"))))</f>
        <v/>
      </c>
      <c r="P48" s="9">
        <f>IF(E48="",0,IF(INDEX(Components!$F$2:$F$17,MATCH(E48,Components!$A$2:$A$17,0))&gt;0,F48,0))+IF(G48="",0,IF(INDEX(Components!$F$2:$F$17,MATCH(G48,Components!$A$2:$A$17,0))&gt;0,H48,0))+IF(I48="",0,IF(INDEX(Components!$F$2:$F$17,MATCH(I48,Components!$A$2:$A$17,0))&gt;0,J48,0))</f>
        <v/>
      </c>
      <c r="Q48" s="5" t="inlineStr">
        <is>
          <t>H, C</t>
        </is>
      </c>
      <c r="R48" s="5" t="inlineStr">
        <is>
          <t>none for ternaries: bracket r</t>
        </is>
      </c>
      <c r="S48" s="12">
        <f>IF(C48="A",'Run grid'!$B$4,IF(C48="B",'Run grid'!$B$6,'Run grid'!$B$8))</f>
        <v/>
      </c>
      <c r="T48" s="9">
        <f>S48*'Run grid'!$B$22</f>
        <v/>
      </c>
      <c r="U48" s="5" t="inlineStr">
        <is>
          <t>CH4 drift + donor for gain</t>
        </is>
      </c>
      <c r="V48" s="5" t="inlineStr">
        <is>
          <t>Flammable</t>
        </is>
      </c>
      <c r="W48" s="5" t="n"/>
    </row>
    <row r="49">
      <c r="A49" s="5" t="inlineStr">
        <is>
          <t>P02</t>
        </is>
      </c>
      <c r="B49" s="5" t="inlineStr">
        <is>
          <t>Ar:CH4:iC4H10</t>
        </is>
      </c>
      <c r="C49" s="13" t="inlineStr">
        <is>
          <t>A</t>
        </is>
      </c>
      <c r="D49" s="5" t="inlineStr">
        <is>
          <t>Ar:CH4:iC4H10 93:5:2</t>
        </is>
      </c>
      <c r="E49" s="7" t="inlineStr">
        <is>
          <t>ch4</t>
        </is>
      </c>
      <c r="F49" s="8" t="n">
        <v>5</v>
      </c>
      <c r="G49" s="7" t="inlineStr">
        <is>
          <t>ic4h10</t>
        </is>
      </c>
      <c r="H49" s="8" t="n">
        <v>2</v>
      </c>
      <c r="I49" s="7" t="n"/>
      <c r="J49" s="8" t="n"/>
      <c r="K49" s="9">
        <f>100-F49-H49-J49</f>
        <v/>
      </c>
      <c r="L49" s="10">
        <f>(K49*INDEX(Components!$D$2:$D$17,MATCH("ar",Components!$A$2:$A$17,0))+IF(E49="",0,F49*INDEX(Components!$D$2:$D$17,MATCH(E49,Components!$A$2:$A$17,0)))+IF(G49="",0,H49*INDEX(Components!$D$2:$D$17,MATCH(G49,Components!$A$2:$A$17,0)))+IF(I49="",0,J49*INDEX(Components!$D$2:$D$17,MATCH(I49,Components!$A$2:$A$17,0))))/100</f>
        <v/>
      </c>
      <c r="M49" s="11">
        <f>K49*INDEX(Components!$D$2:$D$17,MATCH("ar",Components!$A$2:$A$17,0))/(K49*INDEX(Components!$D$2:$D$17,MATCH("ar",Components!$A$2:$A$17,0))+IF(E49="",0,F49*INDEX(Components!$D$2:$D$17,MATCH(E49,Components!$A$2:$A$17,0)))+IF(G49="",0,H49*INDEX(Components!$D$2:$D$17,MATCH(G49,Components!$A$2:$A$17,0)))+IF(I49="",0,J49*INDEX(Components!$D$2:$D$17,MATCH(I49,Components!$A$2:$A$17,0))))</f>
        <v/>
      </c>
      <c r="N49" s="10">
        <f>MIN(15.76,IF(E49="",99,INDEX(Components!$E$2:$E$17,MATCH(E49,Components!$A$2:$A$17,0))),IF(G49="",99,INDEX(Components!$E$2:$E$17,MATCH(G49,Components!$A$2:$A$17,0))),IF(I49="",99,INDEX(Components!$E$2:$E$17,MATCH(I49,Components!$A$2:$A$17,0))))</f>
        <v/>
      </c>
      <c r="O49" s="5">
        <f>IF(N49&lt;11.55,"4s, 4p and higher",IF(N49&lt;12.91,"4p and higher",IF(N49&lt;13.85,"3d/5s and higher",IF(N49&lt;15.76,"high Rydberg only","none"))))</f>
        <v/>
      </c>
      <c r="P49" s="9">
        <f>IF(E49="",0,IF(INDEX(Components!$F$2:$F$17,MATCH(E49,Components!$A$2:$A$17,0))&gt;0,F49,0))+IF(G49="",0,IF(INDEX(Components!$F$2:$F$17,MATCH(G49,Components!$A$2:$A$17,0))&gt;0,H49,0))+IF(I49="",0,IF(INDEX(Components!$F$2:$F$17,MATCH(I49,Components!$A$2:$A$17,0))&gt;0,J49,0))</f>
        <v/>
      </c>
      <c r="Q49" s="5" t="inlineStr">
        <is>
          <t>H, C</t>
        </is>
      </c>
      <c r="R49" s="5" t="inlineStr">
        <is>
          <t>none for ternaries: bracket r</t>
        </is>
      </c>
      <c r="S49" s="12">
        <f>IF(C49="A",'Run grid'!$B$4,IF(C49="B",'Run grid'!$B$6,'Run grid'!$B$8))</f>
        <v/>
      </c>
      <c r="T49" s="9">
        <f>S49*'Run grid'!$B$22</f>
        <v/>
      </c>
      <c r="U49" s="5" t="inlineStr">
        <is>
          <t>CH4 drift + donor for gain</t>
        </is>
      </c>
      <c r="V49" s="5" t="inlineStr">
        <is>
          <t>Flammable</t>
        </is>
      </c>
      <c r="W49" s="5" t="n"/>
    </row>
    <row r="50">
      <c r="A50" s="5" t="inlineStr">
        <is>
          <t>P03</t>
        </is>
      </c>
      <c r="B50" s="5" t="inlineStr">
        <is>
          <t>Ar:CH4:iC4H10</t>
        </is>
      </c>
      <c r="C50" s="14" t="inlineStr">
        <is>
          <t>B</t>
        </is>
      </c>
      <c r="D50" s="5" t="inlineStr">
        <is>
          <t>Ar:CH4:iC4H10 91:7:2</t>
        </is>
      </c>
      <c r="E50" s="7" t="inlineStr">
        <is>
          <t>ch4</t>
        </is>
      </c>
      <c r="F50" s="8" t="n">
        <v>7</v>
      </c>
      <c r="G50" s="7" t="inlineStr">
        <is>
          <t>ic4h10</t>
        </is>
      </c>
      <c r="H50" s="8" t="n">
        <v>2</v>
      </c>
      <c r="I50" s="7" t="n"/>
      <c r="J50" s="8" t="n"/>
      <c r="K50" s="9">
        <f>100-F50-H50-J50</f>
        <v/>
      </c>
      <c r="L50" s="10">
        <f>(K50*INDEX(Components!$D$2:$D$17,MATCH("ar",Components!$A$2:$A$17,0))+IF(E50="",0,F50*INDEX(Components!$D$2:$D$17,MATCH(E50,Components!$A$2:$A$17,0)))+IF(G50="",0,H50*INDEX(Components!$D$2:$D$17,MATCH(G50,Components!$A$2:$A$17,0)))+IF(I50="",0,J50*INDEX(Components!$D$2:$D$17,MATCH(I50,Components!$A$2:$A$17,0))))/100</f>
        <v/>
      </c>
      <c r="M50" s="11">
        <f>K50*INDEX(Components!$D$2:$D$17,MATCH("ar",Components!$A$2:$A$17,0))/(K50*INDEX(Components!$D$2:$D$17,MATCH("ar",Components!$A$2:$A$17,0))+IF(E50="",0,F50*INDEX(Components!$D$2:$D$17,MATCH(E50,Components!$A$2:$A$17,0)))+IF(G50="",0,H50*INDEX(Components!$D$2:$D$17,MATCH(G50,Components!$A$2:$A$17,0)))+IF(I50="",0,J50*INDEX(Components!$D$2:$D$17,MATCH(I50,Components!$A$2:$A$17,0))))</f>
        <v/>
      </c>
      <c r="N50" s="10">
        <f>MIN(15.76,IF(E50="",99,INDEX(Components!$E$2:$E$17,MATCH(E50,Components!$A$2:$A$17,0))),IF(G50="",99,INDEX(Components!$E$2:$E$17,MATCH(G50,Components!$A$2:$A$17,0))),IF(I50="",99,INDEX(Components!$E$2:$E$17,MATCH(I50,Components!$A$2:$A$17,0))))</f>
        <v/>
      </c>
      <c r="O50" s="5">
        <f>IF(N50&lt;11.55,"4s, 4p and higher",IF(N50&lt;12.91,"4p and higher",IF(N50&lt;13.85,"3d/5s and higher",IF(N50&lt;15.76,"high Rydberg only","none"))))</f>
        <v/>
      </c>
      <c r="P50" s="9">
        <f>IF(E50="",0,IF(INDEX(Components!$F$2:$F$17,MATCH(E50,Components!$A$2:$A$17,0))&gt;0,F50,0))+IF(G50="",0,IF(INDEX(Components!$F$2:$F$17,MATCH(G50,Components!$A$2:$A$17,0))&gt;0,H50,0))+IF(I50="",0,IF(INDEX(Components!$F$2:$F$17,MATCH(I50,Components!$A$2:$A$17,0))&gt;0,J50,0))</f>
        <v/>
      </c>
      <c r="Q50" s="5" t="inlineStr">
        <is>
          <t>H, C</t>
        </is>
      </c>
      <c r="R50" s="5" t="inlineStr">
        <is>
          <t>none for ternaries: bracket r</t>
        </is>
      </c>
      <c r="S50" s="12">
        <f>IF(C50="A",'Run grid'!$B$4,IF(C50="B",'Run grid'!$B$6,'Run grid'!$B$8))</f>
        <v/>
      </c>
      <c r="T50" s="9">
        <f>S50*'Run grid'!$B$22</f>
        <v/>
      </c>
      <c r="U50" s="5" t="inlineStr">
        <is>
          <t>Donor at higher CH4</t>
        </is>
      </c>
      <c r="V50" s="5" t="inlineStr">
        <is>
          <t>Flammable</t>
        </is>
      </c>
      <c r="W50" s="5" t="n"/>
    </row>
    <row r="51">
      <c r="A51" s="5" t="inlineStr">
        <is>
          <t>P04</t>
        </is>
      </c>
      <c r="B51" s="5" t="inlineStr">
        <is>
          <t>Ar:CH4:iC4H10</t>
        </is>
      </c>
      <c r="C51" s="14" t="inlineStr">
        <is>
          <t>B</t>
        </is>
      </c>
      <c r="D51" s="5" t="inlineStr">
        <is>
          <t>Ar:CH4:iC4H10 90:8:2</t>
        </is>
      </c>
      <c r="E51" s="7" t="inlineStr">
        <is>
          <t>ch4</t>
        </is>
      </c>
      <c r="F51" s="8" t="n">
        <v>8</v>
      </c>
      <c r="G51" s="7" t="inlineStr">
        <is>
          <t>ic4h10</t>
        </is>
      </c>
      <c r="H51" s="8" t="n">
        <v>2</v>
      </c>
      <c r="I51" s="7" t="n"/>
      <c r="J51" s="8" t="n"/>
      <c r="K51" s="9">
        <f>100-F51-H51-J51</f>
        <v/>
      </c>
      <c r="L51" s="10">
        <f>(K51*INDEX(Components!$D$2:$D$17,MATCH("ar",Components!$A$2:$A$17,0))+IF(E51="",0,F51*INDEX(Components!$D$2:$D$17,MATCH(E51,Components!$A$2:$A$17,0)))+IF(G51="",0,H51*INDEX(Components!$D$2:$D$17,MATCH(G51,Components!$A$2:$A$17,0)))+IF(I51="",0,J51*INDEX(Components!$D$2:$D$17,MATCH(I51,Components!$A$2:$A$17,0))))/100</f>
        <v/>
      </c>
      <c r="M51" s="11">
        <f>K51*INDEX(Components!$D$2:$D$17,MATCH("ar",Components!$A$2:$A$17,0))/(K51*INDEX(Components!$D$2:$D$17,MATCH("ar",Components!$A$2:$A$17,0))+IF(E51="",0,F51*INDEX(Components!$D$2:$D$17,MATCH(E51,Components!$A$2:$A$17,0)))+IF(G51="",0,H51*INDEX(Components!$D$2:$D$17,MATCH(G51,Components!$A$2:$A$17,0)))+IF(I51="",0,J51*INDEX(Components!$D$2:$D$17,MATCH(I51,Components!$A$2:$A$17,0))))</f>
        <v/>
      </c>
      <c r="N51" s="10">
        <f>MIN(15.76,IF(E51="",99,INDEX(Components!$E$2:$E$17,MATCH(E51,Components!$A$2:$A$17,0))),IF(G51="",99,INDEX(Components!$E$2:$E$17,MATCH(G51,Components!$A$2:$A$17,0))),IF(I51="",99,INDEX(Components!$E$2:$E$17,MATCH(I51,Components!$A$2:$A$17,0))))</f>
        <v/>
      </c>
      <c r="O51" s="5">
        <f>IF(N51&lt;11.55,"4s, 4p and higher",IF(N51&lt;12.91,"4p and higher",IF(N51&lt;13.85,"3d/5s and higher",IF(N51&lt;15.76,"high Rydberg only","none"))))</f>
        <v/>
      </c>
      <c r="P51" s="9">
        <f>IF(E51="",0,IF(INDEX(Components!$F$2:$F$17,MATCH(E51,Components!$A$2:$A$17,0))&gt;0,F51,0))+IF(G51="",0,IF(INDEX(Components!$F$2:$F$17,MATCH(G51,Components!$A$2:$A$17,0))&gt;0,H51,0))+IF(I51="",0,IF(INDEX(Components!$F$2:$F$17,MATCH(I51,Components!$A$2:$A$17,0))&gt;0,J51,0))</f>
        <v/>
      </c>
      <c r="Q51" s="5" t="inlineStr">
        <is>
          <t>H, C</t>
        </is>
      </c>
      <c r="R51" s="5" t="inlineStr">
        <is>
          <t>none for ternaries: bracket r</t>
        </is>
      </c>
      <c r="S51" s="12">
        <f>IF(C51="A",'Run grid'!$B$4,IF(C51="B",'Run grid'!$B$6,'Run grid'!$B$8))</f>
        <v/>
      </c>
      <c r="T51" s="9">
        <f>S51*'Run grid'!$B$22</f>
        <v/>
      </c>
      <c r="U51" s="5" t="inlineStr">
        <is>
          <t>P10-like with donor</t>
        </is>
      </c>
      <c r="V51" s="5" t="inlineStr">
        <is>
          <t>Flammable</t>
        </is>
      </c>
      <c r="W51" s="5" t="n"/>
    </row>
    <row r="52">
      <c r="A52" s="5" t="inlineStr">
        <is>
          <t>P05</t>
        </is>
      </c>
      <c r="B52" s="5" t="inlineStr">
        <is>
          <t>Ar:CH4:C2H6</t>
        </is>
      </c>
      <c r="C52" s="14" t="inlineStr">
        <is>
          <t>B</t>
        </is>
      </c>
      <c r="D52" s="5" t="inlineStr">
        <is>
          <t>Ar:CH4:C2H6 92:5:3</t>
        </is>
      </c>
      <c r="E52" s="7" t="inlineStr">
        <is>
          <t>ch4</t>
        </is>
      </c>
      <c r="F52" s="8" t="n">
        <v>5</v>
      </c>
      <c r="G52" s="7" t="inlineStr">
        <is>
          <t>c2h6</t>
        </is>
      </c>
      <c r="H52" s="8" t="n">
        <v>3</v>
      </c>
      <c r="I52" s="7" t="n"/>
      <c r="J52" s="8" t="n"/>
      <c r="K52" s="9">
        <f>100-F52-H52-J52</f>
        <v/>
      </c>
      <c r="L52" s="10">
        <f>(K52*INDEX(Components!$D$2:$D$17,MATCH("ar",Components!$A$2:$A$17,0))+IF(E52="",0,F52*INDEX(Components!$D$2:$D$17,MATCH(E52,Components!$A$2:$A$17,0)))+IF(G52="",0,H52*INDEX(Components!$D$2:$D$17,MATCH(G52,Components!$A$2:$A$17,0)))+IF(I52="",0,J52*INDEX(Components!$D$2:$D$17,MATCH(I52,Components!$A$2:$A$17,0))))/100</f>
        <v/>
      </c>
      <c r="M52" s="11">
        <f>K52*INDEX(Components!$D$2:$D$17,MATCH("ar",Components!$A$2:$A$17,0))/(K52*INDEX(Components!$D$2:$D$17,MATCH("ar",Components!$A$2:$A$17,0))+IF(E52="",0,F52*INDEX(Components!$D$2:$D$17,MATCH(E52,Components!$A$2:$A$17,0)))+IF(G52="",0,H52*INDEX(Components!$D$2:$D$17,MATCH(G52,Components!$A$2:$A$17,0)))+IF(I52="",0,J52*INDEX(Components!$D$2:$D$17,MATCH(I52,Components!$A$2:$A$17,0))))</f>
        <v/>
      </c>
      <c r="N52" s="10">
        <f>MIN(15.76,IF(E52="",99,INDEX(Components!$E$2:$E$17,MATCH(E52,Components!$A$2:$A$17,0))),IF(G52="",99,INDEX(Components!$E$2:$E$17,MATCH(G52,Components!$A$2:$A$17,0))),IF(I52="",99,INDEX(Components!$E$2:$E$17,MATCH(I52,Components!$A$2:$A$17,0))))</f>
        <v/>
      </c>
      <c r="O52" s="5">
        <f>IF(N52&lt;11.55,"4s, 4p and higher",IF(N52&lt;12.91,"4p and higher",IF(N52&lt;13.85,"3d/5s and higher",IF(N52&lt;15.76,"high Rydberg only","none"))))</f>
        <v/>
      </c>
      <c r="P52" s="9">
        <f>IF(E52="",0,IF(INDEX(Components!$F$2:$F$17,MATCH(E52,Components!$A$2:$A$17,0))&gt;0,F52,0))+IF(G52="",0,IF(INDEX(Components!$F$2:$F$17,MATCH(G52,Components!$A$2:$A$17,0))&gt;0,H52,0))+IF(I52="",0,IF(INDEX(Components!$F$2:$F$17,MATCH(I52,Components!$A$2:$A$17,0))&gt;0,J52,0))</f>
        <v/>
      </c>
      <c r="Q52" s="5" t="inlineStr">
        <is>
          <t>H, C</t>
        </is>
      </c>
      <c r="R52" s="5" t="inlineStr">
        <is>
          <t>none for ternaries: bracket r</t>
        </is>
      </c>
      <c r="S52" s="12">
        <f>IF(C52="A",'Run grid'!$B$4,IF(C52="B",'Run grid'!$B$6,'Run grid'!$B$8))</f>
        <v/>
      </c>
      <c r="T52" s="9">
        <f>S52*'Run grid'!$B$22</f>
        <v/>
      </c>
      <c r="U52" s="5" t="inlineStr">
        <is>
          <t>Ethane as a milder donor</t>
        </is>
      </c>
      <c r="V52" s="5" t="inlineStr">
        <is>
          <t>Flammable</t>
        </is>
      </c>
      <c r="W52" s="5" t="n"/>
    </row>
    <row r="53">
      <c r="A53" s="5" t="inlineStr">
        <is>
          <t>P06</t>
        </is>
      </c>
      <c r="B53" s="5" t="inlineStr">
        <is>
          <t>Ar:CH4:C2H6</t>
        </is>
      </c>
      <c r="C53" s="6" t="inlineStr">
        <is>
          <t>C</t>
        </is>
      </c>
      <c r="D53" s="5" t="inlineStr">
        <is>
          <t>Ar:CH4:C2H6 90:5:5</t>
        </is>
      </c>
      <c r="E53" s="7" t="inlineStr">
        <is>
          <t>ch4</t>
        </is>
      </c>
      <c r="F53" s="8" t="n">
        <v>5</v>
      </c>
      <c r="G53" s="7" t="inlineStr">
        <is>
          <t>c2h6</t>
        </is>
      </c>
      <c r="H53" s="8" t="n">
        <v>5</v>
      </c>
      <c r="I53" s="7" t="n"/>
      <c r="J53" s="8" t="n"/>
      <c r="K53" s="9">
        <f>100-F53-H53-J53</f>
        <v/>
      </c>
      <c r="L53" s="10">
        <f>(K53*INDEX(Components!$D$2:$D$17,MATCH("ar",Components!$A$2:$A$17,0))+IF(E53="",0,F53*INDEX(Components!$D$2:$D$17,MATCH(E53,Components!$A$2:$A$17,0)))+IF(G53="",0,H53*INDEX(Components!$D$2:$D$17,MATCH(G53,Components!$A$2:$A$17,0)))+IF(I53="",0,J53*INDEX(Components!$D$2:$D$17,MATCH(I53,Components!$A$2:$A$17,0))))/100</f>
        <v/>
      </c>
      <c r="M53" s="11">
        <f>K53*INDEX(Components!$D$2:$D$17,MATCH("ar",Components!$A$2:$A$17,0))/(K53*INDEX(Components!$D$2:$D$17,MATCH("ar",Components!$A$2:$A$17,0))+IF(E53="",0,F53*INDEX(Components!$D$2:$D$17,MATCH(E53,Components!$A$2:$A$17,0)))+IF(G53="",0,H53*INDEX(Components!$D$2:$D$17,MATCH(G53,Components!$A$2:$A$17,0)))+IF(I53="",0,J53*INDEX(Components!$D$2:$D$17,MATCH(I53,Components!$A$2:$A$17,0))))</f>
        <v/>
      </c>
      <c r="N53" s="10">
        <f>MIN(15.76,IF(E53="",99,INDEX(Components!$E$2:$E$17,MATCH(E53,Components!$A$2:$A$17,0))),IF(G53="",99,INDEX(Components!$E$2:$E$17,MATCH(G53,Components!$A$2:$A$17,0))),IF(I53="",99,INDEX(Components!$E$2:$E$17,MATCH(I53,Components!$A$2:$A$17,0))))</f>
        <v/>
      </c>
      <c r="O53" s="5">
        <f>IF(N53&lt;11.55,"4s, 4p and higher",IF(N53&lt;12.91,"4p and higher",IF(N53&lt;13.85,"3d/5s and higher",IF(N53&lt;15.76,"high Rydberg only","none"))))</f>
        <v/>
      </c>
      <c r="P53" s="9">
        <f>IF(E53="",0,IF(INDEX(Components!$F$2:$F$17,MATCH(E53,Components!$A$2:$A$17,0))&gt;0,F53,0))+IF(G53="",0,IF(INDEX(Components!$F$2:$F$17,MATCH(G53,Components!$A$2:$A$17,0))&gt;0,H53,0))+IF(I53="",0,IF(INDEX(Components!$F$2:$F$17,MATCH(I53,Components!$A$2:$A$17,0))&gt;0,J53,0))</f>
        <v/>
      </c>
      <c r="Q53" s="5" t="inlineStr">
        <is>
          <t>H, C</t>
        </is>
      </c>
      <c r="R53" s="5" t="inlineStr">
        <is>
          <t>none for ternaries: bracket r</t>
        </is>
      </c>
      <c r="S53" s="12">
        <f>IF(C53="A",'Run grid'!$B$4,IF(C53="B",'Run grid'!$B$6,'Run grid'!$B$8))</f>
        <v/>
      </c>
      <c r="T53" s="9">
        <f>S53*'Run grid'!$B$22</f>
        <v/>
      </c>
      <c r="U53" s="5" t="inlineStr">
        <is>
          <t>Ethane as a milder donor</t>
        </is>
      </c>
      <c r="V53" s="5" t="inlineStr">
        <is>
          <t>Flammable</t>
        </is>
      </c>
      <c r="W53" s="5" t="n"/>
    </row>
    <row r="54">
      <c r="A54" s="5" t="inlineStr">
        <is>
          <t>P07</t>
        </is>
      </c>
      <c r="B54" s="5" t="inlineStr">
        <is>
          <t>Ar:CH4:DME</t>
        </is>
      </c>
      <c r="C54" s="14" t="inlineStr">
        <is>
          <t>B</t>
        </is>
      </c>
      <c r="D54" s="5" t="inlineStr">
        <is>
          <t>Ar:CH4:DME 94:5:1</t>
        </is>
      </c>
      <c r="E54" s="7" t="inlineStr">
        <is>
          <t>ch4</t>
        </is>
      </c>
      <c r="F54" s="8" t="n">
        <v>5</v>
      </c>
      <c r="G54" s="7" t="inlineStr">
        <is>
          <t>dme</t>
        </is>
      </c>
      <c r="H54" s="8" t="n">
        <v>1</v>
      </c>
      <c r="I54" s="7" t="n"/>
      <c r="J54" s="8" t="n"/>
      <c r="K54" s="9">
        <f>100-F54-H54-J54</f>
        <v/>
      </c>
      <c r="L54" s="10">
        <f>(K54*INDEX(Components!$D$2:$D$17,MATCH("ar",Components!$A$2:$A$17,0))+IF(E54="",0,F54*INDEX(Components!$D$2:$D$17,MATCH(E54,Components!$A$2:$A$17,0)))+IF(G54="",0,H54*INDEX(Components!$D$2:$D$17,MATCH(G54,Components!$A$2:$A$17,0)))+IF(I54="",0,J54*INDEX(Components!$D$2:$D$17,MATCH(I54,Components!$A$2:$A$17,0))))/100</f>
        <v/>
      </c>
      <c r="M54" s="11">
        <f>K54*INDEX(Components!$D$2:$D$17,MATCH("ar",Components!$A$2:$A$17,0))/(K54*INDEX(Components!$D$2:$D$17,MATCH("ar",Components!$A$2:$A$17,0))+IF(E54="",0,F54*INDEX(Components!$D$2:$D$17,MATCH(E54,Components!$A$2:$A$17,0)))+IF(G54="",0,H54*INDEX(Components!$D$2:$D$17,MATCH(G54,Components!$A$2:$A$17,0)))+IF(I54="",0,J54*INDEX(Components!$D$2:$D$17,MATCH(I54,Components!$A$2:$A$17,0))))</f>
        <v/>
      </c>
      <c r="N54" s="10">
        <f>MIN(15.76,IF(E54="",99,INDEX(Components!$E$2:$E$17,MATCH(E54,Components!$A$2:$A$17,0))),IF(G54="",99,INDEX(Components!$E$2:$E$17,MATCH(G54,Components!$A$2:$A$17,0))),IF(I54="",99,INDEX(Components!$E$2:$E$17,MATCH(I54,Components!$A$2:$A$17,0))))</f>
        <v/>
      </c>
      <c r="O54" s="5">
        <f>IF(N54&lt;11.55,"4s, 4p and higher",IF(N54&lt;12.91,"4p and higher",IF(N54&lt;13.85,"3d/5s and higher",IF(N54&lt;15.76,"high Rydberg only","none"))))</f>
        <v/>
      </c>
      <c r="P54" s="9">
        <f>IF(E54="",0,IF(INDEX(Components!$F$2:$F$17,MATCH(E54,Components!$A$2:$A$17,0))&gt;0,F54,0))+IF(G54="",0,IF(INDEX(Components!$F$2:$F$17,MATCH(G54,Components!$A$2:$A$17,0))&gt;0,H54,0))+IF(I54="",0,IF(INDEX(Components!$F$2:$F$17,MATCH(I54,Components!$A$2:$A$17,0))&gt;0,J54,0))</f>
        <v/>
      </c>
      <c r="Q54" s="5" t="inlineStr">
        <is>
          <t>H, C, O</t>
        </is>
      </c>
      <c r="R54" s="5" t="inlineStr">
        <is>
          <t>none for ternaries: bracket r</t>
        </is>
      </c>
      <c r="S54" s="12">
        <f>IF(C54="A",'Run grid'!$B$4,IF(C54="B",'Run grid'!$B$6,'Run grid'!$B$8))</f>
        <v/>
      </c>
      <c r="T54" s="9">
        <f>S54*'Run grid'!$B$22</f>
        <v/>
      </c>
      <c r="U54" s="5" t="inlineStr">
        <is>
          <t>DME donor, no attachment</t>
        </is>
      </c>
      <c r="V54" s="5" t="inlineStr">
        <is>
          <t>Flammable; materials</t>
        </is>
      </c>
      <c r="W54" s="5" t="n"/>
    </row>
    <row r="55">
      <c r="A55" s="5" t="inlineStr">
        <is>
          <t>P08</t>
        </is>
      </c>
      <c r="B55" s="5" t="inlineStr">
        <is>
          <t>Ar:CH4:DME</t>
        </is>
      </c>
      <c r="C55" s="6" t="inlineStr">
        <is>
          <t>C</t>
        </is>
      </c>
      <c r="D55" s="5" t="inlineStr">
        <is>
          <t>Ar:CH4:DME 93:5:2</t>
        </is>
      </c>
      <c r="E55" s="7" t="inlineStr">
        <is>
          <t>ch4</t>
        </is>
      </c>
      <c r="F55" s="8" t="n">
        <v>5</v>
      </c>
      <c r="G55" s="7" t="inlineStr">
        <is>
          <t>dme</t>
        </is>
      </c>
      <c r="H55" s="8" t="n">
        <v>2</v>
      </c>
      <c r="I55" s="7" t="n"/>
      <c r="J55" s="8" t="n"/>
      <c r="K55" s="9">
        <f>100-F55-H55-J55</f>
        <v/>
      </c>
      <c r="L55" s="10">
        <f>(K55*INDEX(Components!$D$2:$D$17,MATCH("ar",Components!$A$2:$A$17,0))+IF(E55="",0,F55*INDEX(Components!$D$2:$D$17,MATCH(E55,Components!$A$2:$A$17,0)))+IF(G55="",0,H55*INDEX(Components!$D$2:$D$17,MATCH(G55,Components!$A$2:$A$17,0)))+IF(I55="",0,J55*INDEX(Components!$D$2:$D$17,MATCH(I55,Components!$A$2:$A$17,0))))/100</f>
        <v/>
      </c>
      <c r="M55" s="11">
        <f>K55*INDEX(Components!$D$2:$D$17,MATCH("ar",Components!$A$2:$A$17,0))/(K55*INDEX(Components!$D$2:$D$17,MATCH("ar",Components!$A$2:$A$17,0))+IF(E55="",0,F55*INDEX(Components!$D$2:$D$17,MATCH(E55,Components!$A$2:$A$17,0)))+IF(G55="",0,H55*INDEX(Components!$D$2:$D$17,MATCH(G55,Components!$A$2:$A$17,0)))+IF(I55="",0,J55*INDEX(Components!$D$2:$D$17,MATCH(I55,Components!$A$2:$A$17,0))))</f>
        <v/>
      </c>
      <c r="N55" s="10">
        <f>MIN(15.76,IF(E55="",99,INDEX(Components!$E$2:$E$17,MATCH(E55,Components!$A$2:$A$17,0))),IF(G55="",99,INDEX(Components!$E$2:$E$17,MATCH(G55,Components!$A$2:$A$17,0))),IF(I55="",99,INDEX(Components!$E$2:$E$17,MATCH(I55,Components!$A$2:$A$17,0))))</f>
        <v/>
      </c>
      <c r="O55" s="5">
        <f>IF(N55&lt;11.55,"4s, 4p and higher",IF(N55&lt;12.91,"4p and higher",IF(N55&lt;13.85,"3d/5s and higher",IF(N55&lt;15.76,"high Rydberg only","none"))))</f>
        <v/>
      </c>
      <c r="P55" s="9">
        <f>IF(E55="",0,IF(INDEX(Components!$F$2:$F$17,MATCH(E55,Components!$A$2:$A$17,0))&gt;0,F55,0))+IF(G55="",0,IF(INDEX(Components!$F$2:$F$17,MATCH(G55,Components!$A$2:$A$17,0))&gt;0,H55,0))+IF(I55="",0,IF(INDEX(Components!$F$2:$F$17,MATCH(I55,Components!$A$2:$A$17,0))&gt;0,J55,0))</f>
        <v/>
      </c>
      <c r="Q55" s="5" t="inlineStr">
        <is>
          <t>H, C, O</t>
        </is>
      </c>
      <c r="R55" s="5" t="inlineStr">
        <is>
          <t>none for ternaries: bracket r</t>
        </is>
      </c>
      <c r="S55" s="12">
        <f>IF(C55="A",'Run grid'!$B$4,IF(C55="B",'Run grid'!$B$6,'Run grid'!$B$8))</f>
        <v/>
      </c>
      <c r="T55" s="9">
        <f>S55*'Run grid'!$B$22</f>
        <v/>
      </c>
      <c r="U55" s="5" t="inlineStr">
        <is>
          <t>DME donor</t>
        </is>
      </c>
      <c r="V55" s="5" t="inlineStr">
        <is>
          <t>Flammable; materials</t>
        </is>
      </c>
      <c r="W55" s="5" t="n"/>
    </row>
    <row r="56">
      <c r="A56" s="5" t="inlineStr">
        <is>
          <t>P09</t>
        </is>
      </c>
      <c r="B56" s="5" t="inlineStr">
        <is>
          <t>Ar:CH4:TMA</t>
        </is>
      </c>
      <c r="C56" s="14" t="inlineStr">
        <is>
          <t>B</t>
        </is>
      </c>
      <c r="D56" s="5" t="inlineStr">
        <is>
          <t>Ar:CH4:TMA 94.5:5:0.5</t>
        </is>
      </c>
      <c r="E56" s="7" t="inlineStr">
        <is>
          <t>ch4</t>
        </is>
      </c>
      <c r="F56" s="8" t="n">
        <v>5</v>
      </c>
      <c r="G56" s="7" t="inlineStr">
        <is>
          <t>tma</t>
        </is>
      </c>
      <c r="H56" s="8" t="n">
        <v>0.5</v>
      </c>
      <c r="I56" s="7" t="n"/>
      <c r="J56" s="8" t="n"/>
      <c r="K56" s="9">
        <f>100-F56-H56-J56</f>
        <v/>
      </c>
      <c r="L56" s="10">
        <f>(K56*INDEX(Components!$D$2:$D$17,MATCH("ar",Components!$A$2:$A$17,0))+IF(E56="",0,F56*INDEX(Components!$D$2:$D$17,MATCH(E56,Components!$A$2:$A$17,0)))+IF(G56="",0,H56*INDEX(Components!$D$2:$D$17,MATCH(G56,Components!$A$2:$A$17,0)))+IF(I56="",0,J56*INDEX(Components!$D$2:$D$17,MATCH(I56,Components!$A$2:$A$17,0))))/100</f>
        <v/>
      </c>
      <c r="M56" s="11">
        <f>K56*INDEX(Components!$D$2:$D$17,MATCH("ar",Components!$A$2:$A$17,0))/(K56*INDEX(Components!$D$2:$D$17,MATCH("ar",Components!$A$2:$A$17,0))+IF(E56="",0,F56*INDEX(Components!$D$2:$D$17,MATCH(E56,Components!$A$2:$A$17,0)))+IF(G56="",0,H56*INDEX(Components!$D$2:$D$17,MATCH(G56,Components!$A$2:$A$17,0)))+IF(I56="",0,J56*INDEX(Components!$D$2:$D$17,MATCH(I56,Components!$A$2:$A$17,0))))</f>
        <v/>
      </c>
      <c r="N56" s="10">
        <f>MIN(15.76,IF(E56="",99,INDEX(Components!$E$2:$E$17,MATCH(E56,Components!$A$2:$A$17,0))),IF(G56="",99,INDEX(Components!$E$2:$E$17,MATCH(G56,Components!$A$2:$A$17,0))),IF(I56="",99,INDEX(Components!$E$2:$E$17,MATCH(I56,Components!$A$2:$A$17,0))))</f>
        <v/>
      </c>
      <c r="O56" s="5">
        <f>IF(N56&lt;11.55,"4s, 4p and higher",IF(N56&lt;12.91,"4p and higher",IF(N56&lt;13.85,"3d/5s and higher",IF(N56&lt;15.76,"high Rydberg only","none"))))</f>
        <v/>
      </c>
      <c r="P56" s="9">
        <f>IF(E56="",0,IF(INDEX(Components!$F$2:$F$17,MATCH(E56,Components!$A$2:$A$17,0))&gt;0,F56,0))+IF(G56="",0,IF(INDEX(Components!$F$2:$F$17,MATCH(G56,Components!$A$2:$A$17,0))&gt;0,H56,0))+IF(I56="",0,IF(INDEX(Components!$F$2:$F$17,MATCH(I56,Components!$A$2:$A$17,0))&gt;0,J56,0))</f>
        <v/>
      </c>
      <c r="Q56" s="5" t="inlineStr">
        <is>
          <t>H, C, N</t>
        </is>
      </c>
      <c r="R56" s="5" t="inlineStr">
        <is>
          <t>none for ternaries: bracket r</t>
        </is>
      </c>
      <c r="S56" s="12">
        <f>IF(C56="A",'Run grid'!$B$4,IF(C56="B",'Run grid'!$B$6,'Run grid'!$B$8))</f>
        <v/>
      </c>
      <c r="T56" s="9">
        <f>S56*'Run grid'!$B$22</f>
        <v/>
      </c>
      <c r="U56" s="5" t="inlineStr">
        <is>
          <t>Trace TMA as donor</t>
        </is>
      </c>
      <c r="V56" s="5" t="inlineStr">
        <is>
          <t>Toxic, reactive</t>
        </is>
      </c>
      <c r="W56" s="5" t="n"/>
    </row>
    <row r="57">
      <c r="A57" s="5" t="inlineStr">
        <is>
          <t>P10</t>
        </is>
      </c>
      <c r="B57" s="5" t="inlineStr">
        <is>
          <t>Ar:CH4:TMA</t>
        </is>
      </c>
      <c r="C57" s="14" t="inlineStr">
        <is>
          <t>B</t>
        </is>
      </c>
      <c r="D57" s="5" t="inlineStr">
        <is>
          <t>Ar:CH4:TMA 94:5:1</t>
        </is>
      </c>
      <c r="E57" s="7" t="inlineStr">
        <is>
          <t>ch4</t>
        </is>
      </c>
      <c r="F57" s="8" t="n">
        <v>5</v>
      </c>
      <c r="G57" s="7" t="inlineStr">
        <is>
          <t>tma</t>
        </is>
      </c>
      <c r="H57" s="8" t="n">
        <v>1</v>
      </c>
      <c r="I57" s="7" t="n"/>
      <c r="J57" s="8" t="n"/>
      <c r="K57" s="9">
        <f>100-F57-H57-J57</f>
        <v/>
      </c>
      <c r="L57" s="10">
        <f>(K57*INDEX(Components!$D$2:$D$17,MATCH("ar",Components!$A$2:$A$17,0))+IF(E57="",0,F57*INDEX(Components!$D$2:$D$17,MATCH(E57,Components!$A$2:$A$17,0)))+IF(G57="",0,H57*INDEX(Components!$D$2:$D$17,MATCH(G57,Components!$A$2:$A$17,0)))+IF(I57="",0,J57*INDEX(Components!$D$2:$D$17,MATCH(I57,Components!$A$2:$A$17,0))))/100</f>
        <v/>
      </c>
      <c r="M57" s="11">
        <f>K57*INDEX(Components!$D$2:$D$17,MATCH("ar",Components!$A$2:$A$17,0))/(K57*INDEX(Components!$D$2:$D$17,MATCH("ar",Components!$A$2:$A$17,0))+IF(E57="",0,F57*INDEX(Components!$D$2:$D$17,MATCH(E57,Components!$A$2:$A$17,0)))+IF(G57="",0,H57*INDEX(Components!$D$2:$D$17,MATCH(G57,Components!$A$2:$A$17,0)))+IF(I57="",0,J57*INDEX(Components!$D$2:$D$17,MATCH(I57,Components!$A$2:$A$17,0))))</f>
        <v/>
      </c>
      <c r="N57" s="10">
        <f>MIN(15.76,IF(E57="",99,INDEX(Components!$E$2:$E$17,MATCH(E57,Components!$A$2:$A$17,0))),IF(G57="",99,INDEX(Components!$E$2:$E$17,MATCH(G57,Components!$A$2:$A$17,0))),IF(I57="",99,INDEX(Components!$E$2:$E$17,MATCH(I57,Components!$A$2:$A$17,0))))</f>
        <v/>
      </c>
      <c r="O57" s="5">
        <f>IF(N57&lt;11.55,"4s, 4p and higher",IF(N57&lt;12.91,"4p and higher",IF(N57&lt;13.85,"3d/5s and higher",IF(N57&lt;15.76,"high Rydberg only","none"))))</f>
        <v/>
      </c>
      <c r="P57" s="9">
        <f>IF(E57="",0,IF(INDEX(Components!$F$2:$F$17,MATCH(E57,Components!$A$2:$A$17,0))&gt;0,F57,0))+IF(G57="",0,IF(INDEX(Components!$F$2:$F$17,MATCH(G57,Components!$A$2:$A$17,0))&gt;0,H57,0))+IF(I57="",0,IF(INDEX(Components!$F$2:$F$17,MATCH(I57,Components!$A$2:$A$17,0))&gt;0,J57,0))</f>
        <v/>
      </c>
      <c r="Q57" s="5" t="inlineStr">
        <is>
          <t>H, C, N</t>
        </is>
      </c>
      <c r="R57" s="5" t="inlineStr">
        <is>
          <t>none for ternaries: bracket r</t>
        </is>
      </c>
      <c r="S57" s="12">
        <f>IF(C57="A",'Run grid'!$B$4,IF(C57="B",'Run grid'!$B$6,'Run grid'!$B$8))</f>
        <v/>
      </c>
      <c r="T57" s="9">
        <f>S57*'Run grid'!$B$22</f>
        <v/>
      </c>
      <c r="U57" s="5" t="inlineStr">
        <is>
          <t>TMA as donor</t>
        </is>
      </c>
      <c r="V57" s="5" t="inlineStr">
        <is>
          <t>Toxic, reactive</t>
        </is>
      </c>
      <c r="W57" s="5" t="n"/>
    </row>
    <row r="58">
      <c r="A58" s="5" t="inlineStr">
        <is>
          <t>P11</t>
        </is>
      </c>
      <c r="B58" s="5" t="inlineStr">
        <is>
          <t>Ar:CH4:C2H2</t>
        </is>
      </c>
      <c r="C58" s="6" t="inlineStr">
        <is>
          <t>C</t>
        </is>
      </c>
      <c r="D58" s="5" t="inlineStr">
        <is>
          <t>Ar:CH4:C2H2 94:5:1</t>
        </is>
      </c>
      <c r="E58" s="7" t="inlineStr">
        <is>
          <t>ch4</t>
        </is>
      </c>
      <c r="F58" s="8" t="n">
        <v>5</v>
      </c>
      <c r="G58" s="7" t="inlineStr">
        <is>
          <t>c2h2</t>
        </is>
      </c>
      <c r="H58" s="8" t="n">
        <v>1</v>
      </c>
      <c r="I58" s="7" t="n"/>
      <c r="J58" s="8" t="n"/>
      <c r="K58" s="9">
        <f>100-F58-H58-J58</f>
        <v/>
      </c>
      <c r="L58" s="10">
        <f>(K58*INDEX(Components!$D$2:$D$17,MATCH("ar",Components!$A$2:$A$17,0))+IF(E58="",0,F58*INDEX(Components!$D$2:$D$17,MATCH(E58,Components!$A$2:$A$17,0)))+IF(G58="",0,H58*INDEX(Components!$D$2:$D$17,MATCH(G58,Components!$A$2:$A$17,0)))+IF(I58="",0,J58*INDEX(Components!$D$2:$D$17,MATCH(I58,Components!$A$2:$A$17,0))))/100</f>
        <v/>
      </c>
      <c r="M58" s="11">
        <f>K58*INDEX(Components!$D$2:$D$17,MATCH("ar",Components!$A$2:$A$17,0))/(K58*INDEX(Components!$D$2:$D$17,MATCH("ar",Components!$A$2:$A$17,0))+IF(E58="",0,F58*INDEX(Components!$D$2:$D$17,MATCH(E58,Components!$A$2:$A$17,0)))+IF(G58="",0,H58*INDEX(Components!$D$2:$D$17,MATCH(G58,Components!$A$2:$A$17,0)))+IF(I58="",0,J58*INDEX(Components!$D$2:$D$17,MATCH(I58,Components!$A$2:$A$17,0))))</f>
        <v/>
      </c>
      <c r="N58" s="10">
        <f>MIN(15.76,IF(E58="",99,INDEX(Components!$E$2:$E$17,MATCH(E58,Components!$A$2:$A$17,0))),IF(G58="",99,INDEX(Components!$E$2:$E$17,MATCH(G58,Components!$A$2:$A$17,0))),IF(I58="",99,INDEX(Components!$E$2:$E$17,MATCH(I58,Components!$A$2:$A$17,0))))</f>
        <v/>
      </c>
      <c r="O58" s="5">
        <f>IF(N58&lt;11.55,"4s, 4p and higher",IF(N58&lt;12.91,"4p and higher",IF(N58&lt;13.85,"3d/5s and higher",IF(N58&lt;15.76,"high Rydberg only","none"))))</f>
        <v/>
      </c>
      <c r="P58" s="9">
        <f>IF(E58="",0,IF(INDEX(Components!$F$2:$F$17,MATCH(E58,Components!$A$2:$A$17,0))&gt;0,F58,0))+IF(G58="",0,IF(INDEX(Components!$F$2:$F$17,MATCH(G58,Components!$A$2:$A$17,0))&gt;0,H58,0))+IF(I58="",0,IF(INDEX(Components!$F$2:$F$17,MATCH(I58,Components!$A$2:$A$17,0))&gt;0,J58,0))</f>
        <v/>
      </c>
      <c r="Q58" s="5" t="inlineStr">
        <is>
          <t>H, C</t>
        </is>
      </c>
      <c r="R58" s="5" t="inlineStr">
        <is>
          <t>none for ternaries: bracket r</t>
        </is>
      </c>
      <c r="S58" s="12">
        <f>IF(C58="A",'Run grid'!$B$4,IF(C58="B",'Run grid'!$B$6,'Run grid'!$B$8))</f>
        <v/>
      </c>
      <c r="T58" s="9">
        <f>S58*'Run grid'!$B$22</f>
        <v/>
      </c>
      <c r="U58" s="5" t="inlineStr">
        <is>
          <t>Acetylene as donor</t>
        </is>
      </c>
      <c r="V58" s="5" t="inlineStr">
        <is>
          <t>Decomposition hazard</t>
        </is>
      </c>
      <c r="W58" s="5" t="n"/>
    </row>
    <row r="59">
      <c r="A59" s="5" t="inlineStr">
        <is>
          <t>P12</t>
        </is>
      </c>
      <c r="B59" s="5" t="inlineStr">
        <is>
          <t>Ar:CH4:C3H8</t>
        </is>
      </c>
      <c r="C59" s="6" t="inlineStr">
        <is>
          <t>C</t>
        </is>
      </c>
      <c r="D59" s="5" t="inlineStr">
        <is>
          <t>Ar:CH4:C3H8 93:5:2</t>
        </is>
      </c>
      <c r="E59" s="7" t="inlineStr">
        <is>
          <t>ch4</t>
        </is>
      </c>
      <c r="F59" s="8" t="n">
        <v>5</v>
      </c>
      <c r="G59" s="7" t="inlineStr">
        <is>
          <t>c3h8</t>
        </is>
      </c>
      <c r="H59" s="8" t="n">
        <v>2</v>
      </c>
      <c r="I59" s="7" t="n"/>
      <c r="J59" s="8" t="n"/>
      <c r="K59" s="9">
        <f>100-F59-H59-J59</f>
        <v/>
      </c>
      <c r="L59" s="10">
        <f>(K59*INDEX(Components!$D$2:$D$17,MATCH("ar",Components!$A$2:$A$17,0))+IF(E59="",0,F59*INDEX(Components!$D$2:$D$17,MATCH(E59,Components!$A$2:$A$17,0)))+IF(G59="",0,H59*INDEX(Components!$D$2:$D$17,MATCH(G59,Components!$A$2:$A$17,0)))+IF(I59="",0,J59*INDEX(Components!$D$2:$D$17,MATCH(I59,Components!$A$2:$A$17,0))))/100</f>
        <v/>
      </c>
      <c r="M59" s="11">
        <f>K59*INDEX(Components!$D$2:$D$17,MATCH("ar",Components!$A$2:$A$17,0))/(K59*INDEX(Components!$D$2:$D$17,MATCH("ar",Components!$A$2:$A$17,0))+IF(E59="",0,F59*INDEX(Components!$D$2:$D$17,MATCH(E59,Components!$A$2:$A$17,0)))+IF(G59="",0,H59*INDEX(Components!$D$2:$D$17,MATCH(G59,Components!$A$2:$A$17,0)))+IF(I59="",0,J59*INDEX(Components!$D$2:$D$17,MATCH(I59,Components!$A$2:$A$17,0))))</f>
        <v/>
      </c>
      <c r="N59" s="10">
        <f>MIN(15.76,IF(E59="",99,INDEX(Components!$E$2:$E$17,MATCH(E59,Components!$A$2:$A$17,0))),IF(G59="",99,INDEX(Components!$E$2:$E$17,MATCH(G59,Components!$A$2:$A$17,0))),IF(I59="",99,INDEX(Components!$E$2:$E$17,MATCH(I59,Components!$A$2:$A$17,0))))</f>
        <v/>
      </c>
      <c r="O59" s="5">
        <f>IF(N59&lt;11.55,"4s, 4p and higher",IF(N59&lt;12.91,"4p and higher",IF(N59&lt;13.85,"3d/5s and higher",IF(N59&lt;15.76,"high Rydberg only","none"))))</f>
        <v/>
      </c>
      <c r="P59" s="9">
        <f>IF(E59="",0,IF(INDEX(Components!$F$2:$F$17,MATCH(E59,Components!$A$2:$A$17,0))&gt;0,F59,0))+IF(G59="",0,IF(INDEX(Components!$F$2:$F$17,MATCH(G59,Components!$A$2:$A$17,0))&gt;0,H59,0))+IF(I59="",0,IF(INDEX(Components!$F$2:$F$17,MATCH(I59,Components!$A$2:$A$17,0))&gt;0,J59,0))</f>
        <v/>
      </c>
      <c r="Q59" s="5" t="inlineStr">
        <is>
          <t>H, C</t>
        </is>
      </c>
      <c r="R59" s="5" t="inlineStr">
        <is>
          <t>none for ternaries: bracket r</t>
        </is>
      </c>
      <c r="S59" s="12">
        <f>IF(C59="A",'Run grid'!$B$4,IF(C59="B",'Run grid'!$B$6,'Run grid'!$B$8))</f>
        <v/>
      </c>
      <c r="T59" s="9">
        <f>S59*'Run grid'!$B$22</f>
        <v/>
      </c>
      <c r="U59" s="5" t="inlineStr">
        <is>
          <t>Propane as donor</t>
        </is>
      </c>
      <c r="V59" s="5" t="inlineStr">
        <is>
          <t>Flammable</t>
        </is>
      </c>
      <c r="W59" s="5" t="n"/>
    </row>
    <row r="60">
      <c r="A60" s="5" t="inlineStr">
        <is>
          <t>P13</t>
        </is>
      </c>
      <c r="B60" s="5" t="inlineStr">
        <is>
          <t>Ar:CO2:iC4H10</t>
        </is>
      </c>
      <c r="C60" s="14" t="inlineStr">
        <is>
          <t>B</t>
        </is>
      </c>
      <c r="D60" s="5" t="inlineStr">
        <is>
          <t>Ar:CO2:iC4H10 94:5:1</t>
        </is>
      </c>
      <c r="E60" s="7" t="inlineStr">
        <is>
          <t>co2</t>
        </is>
      </c>
      <c r="F60" s="8" t="n">
        <v>5</v>
      </c>
      <c r="G60" s="7" t="inlineStr">
        <is>
          <t>ic4h10</t>
        </is>
      </c>
      <c r="H60" s="8" t="n">
        <v>1</v>
      </c>
      <c r="I60" s="7" t="n"/>
      <c r="J60" s="8" t="n"/>
      <c r="K60" s="9">
        <f>100-F60-H60-J60</f>
        <v/>
      </c>
      <c r="L60" s="10">
        <f>(K60*INDEX(Components!$D$2:$D$17,MATCH("ar",Components!$A$2:$A$17,0))+IF(E60="",0,F60*INDEX(Components!$D$2:$D$17,MATCH(E60,Components!$A$2:$A$17,0)))+IF(G60="",0,H60*INDEX(Components!$D$2:$D$17,MATCH(G60,Components!$A$2:$A$17,0)))+IF(I60="",0,J60*INDEX(Components!$D$2:$D$17,MATCH(I60,Components!$A$2:$A$17,0))))/100</f>
        <v/>
      </c>
      <c r="M60" s="11">
        <f>K60*INDEX(Components!$D$2:$D$17,MATCH("ar",Components!$A$2:$A$17,0))/(K60*INDEX(Components!$D$2:$D$17,MATCH("ar",Components!$A$2:$A$17,0))+IF(E60="",0,F60*INDEX(Components!$D$2:$D$17,MATCH(E60,Components!$A$2:$A$17,0)))+IF(G60="",0,H60*INDEX(Components!$D$2:$D$17,MATCH(G60,Components!$A$2:$A$17,0)))+IF(I60="",0,J60*INDEX(Components!$D$2:$D$17,MATCH(I60,Components!$A$2:$A$17,0))))</f>
        <v/>
      </c>
      <c r="N60" s="10">
        <f>MIN(15.76,IF(E60="",99,INDEX(Components!$E$2:$E$17,MATCH(E60,Components!$A$2:$A$17,0))),IF(G60="",99,INDEX(Components!$E$2:$E$17,MATCH(G60,Components!$A$2:$A$17,0))),IF(I60="",99,INDEX(Components!$E$2:$E$17,MATCH(I60,Components!$A$2:$A$17,0))))</f>
        <v/>
      </c>
      <c r="O60" s="5">
        <f>IF(N60&lt;11.55,"4s, 4p and higher",IF(N60&lt;12.91,"4p and higher",IF(N60&lt;13.85,"3d/5s and higher",IF(N60&lt;15.76,"high Rydberg only","none"))))</f>
        <v/>
      </c>
      <c r="P60" s="9">
        <f>IF(E60="",0,IF(INDEX(Components!$F$2:$F$17,MATCH(E60,Components!$A$2:$A$17,0))&gt;0,F60,0))+IF(G60="",0,IF(INDEX(Components!$F$2:$F$17,MATCH(G60,Components!$A$2:$A$17,0))&gt;0,H60,0))+IF(I60="",0,IF(INDEX(Components!$F$2:$F$17,MATCH(I60,Components!$A$2:$A$17,0))&gt;0,J60,0))</f>
        <v/>
      </c>
      <c r="Q60" s="5" t="inlineStr">
        <is>
          <t>C, O, H</t>
        </is>
      </c>
      <c r="R60" s="5" t="inlineStr">
        <is>
          <t>none for ternaries: bracket r</t>
        </is>
      </c>
      <c r="S60" s="12">
        <f>IF(C60="A",'Run grid'!$B$4,IF(C60="B",'Run grid'!$B$6,'Run grid'!$B$8))</f>
        <v/>
      </c>
      <c r="T60" s="9">
        <f>S60*'Run grid'!$B$22</f>
        <v/>
      </c>
      <c r="U60" s="5" t="inlineStr">
        <is>
          <t>Low diffusion + donor</t>
        </is>
      </c>
      <c r="V60" s="5" t="inlineStr">
        <is>
          <t>Flammable; O2 attachment</t>
        </is>
      </c>
      <c r="W60" s="5" t="n"/>
    </row>
    <row r="61">
      <c r="A61" s="5" t="inlineStr">
        <is>
          <t>P14</t>
        </is>
      </c>
      <c r="B61" s="5" t="inlineStr">
        <is>
          <t>Ar:CO2:iC4H10</t>
        </is>
      </c>
      <c r="C61" s="13" t="inlineStr">
        <is>
          <t>A</t>
        </is>
      </c>
      <c r="D61" s="5" t="inlineStr">
        <is>
          <t>Ar:CO2:iC4H10 93:5:2</t>
        </is>
      </c>
      <c r="E61" s="7" t="inlineStr">
        <is>
          <t>co2</t>
        </is>
      </c>
      <c r="F61" s="8" t="n">
        <v>5</v>
      </c>
      <c r="G61" s="7" t="inlineStr">
        <is>
          <t>ic4h10</t>
        </is>
      </c>
      <c r="H61" s="8" t="n">
        <v>2</v>
      </c>
      <c r="I61" s="7" t="n"/>
      <c r="J61" s="8" t="n"/>
      <c r="K61" s="9">
        <f>100-F61-H61-J61</f>
        <v/>
      </c>
      <c r="L61" s="10">
        <f>(K61*INDEX(Components!$D$2:$D$17,MATCH("ar",Components!$A$2:$A$17,0))+IF(E61="",0,F61*INDEX(Components!$D$2:$D$17,MATCH(E61,Components!$A$2:$A$17,0)))+IF(G61="",0,H61*INDEX(Components!$D$2:$D$17,MATCH(G61,Components!$A$2:$A$17,0)))+IF(I61="",0,J61*INDEX(Components!$D$2:$D$17,MATCH(I61,Components!$A$2:$A$17,0))))/100</f>
        <v/>
      </c>
      <c r="M61" s="11">
        <f>K61*INDEX(Components!$D$2:$D$17,MATCH("ar",Components!$A$2:$A$17,0))/(K61*INDEX(Components!$D$2:$D$17,MATCH("ar",Components!$A$2:$A$17,0))+IF(E61="",0,F61*INDEX(Components!$D$2:$D$17,MATCH(E61,Components!$A$2:$A$17,0)))+IF(G61="",0,H61*INDEX(Components!$D$2:$D$17,MATCH(G61,Components!$A$2:$A$17,0)))+IF(I61="",0,J61*INDEX(Components!$D$2:$D$17,MATCH(I61,Components!$A$2:$A$17,0))))</f>
        <v/>
      </c>
      <c r="N61" s="10">
        <f>MIN(15.76,IF(E61="",99,INDEX(Components!$E$2:$E$17,MATCH(E61,Components!$A$2:$A$17,0))),IF(G61="",99,INDEX(Components!$E$2:$E$17,MATCH(G61,Components!$A$2:$A$17,0))),IF(I61="",99,INDEX(Components!$E$2:$E$17,MATCH(I61,Components!$A$2:$A$17,0))))</f>
        <v/>
      </c>
      <c r="O61" s="5">
        <f>IF(N61&lt;11.55,"4s, 4p and higher",IF(N61&lt;12.91,"4p and higher",IF(N61&lt;13.85,"3d/5s and higher",IF(N61&lt;15.76,"high Rydberg only","none"))))</f>
        <v/>
      </c>
      <c r="P61" s="9">
        <f>IF(E61="",0,IF(INDEX(Components!$F$2:$F$17,MATCH(E61,Components!$A$2:$A$17,0))&gt;0,F61,0))+IF(G61="",0,IF(INDEX(Components!$F$2:$F$17,MATCH(G61,Components!$A$2:$A$17,0))&gt;0,H61,0))+IF(I61="",0,IF(INDEX(Components!$F$2:$F$17,MATCH(I61,Components!$A$2:$A$17,0))&gt;0,J61,0))</f>
        <v/>
      </c>
      <c r="Q61" s="5" t="inlineStr">
        <is>
          <t>C, O, H</t>
        </is>
      </c>
      <c r="R61" s="5" t="inlineStr">
        <is>
          <t>none for ternaries: bracket r</t>
        </is>
      </c>
      <c r="S61" s="12">
        <f>IF(C61="A",'Run grid'!$B$4,IF(C61="B",'Run grid'!$B$6,'Run grid'!$B$8))</f>
        <v/>
      </c>
      <c r="T61" s="9">
        <f>S61*'Run grid'!$B$22</f>
        <v/>
      </c>
      <c r="U61" s="5" t="inlineStr">
        <is>
          <t>Low diffusion + donor</t>
        </is>
      </c>
      <c r="V61" s="5" t="inlineStr">
        <is>
          <t>Flammable; O2 attachment</t>
        </is>
      </c>
      <c r="W61" s="5" t="n"/>
    </row>
    <row r="62">
      <c r="A62" s="5" t="inlineStr">
        <is>
          <t>P15</t>
        </is>
      </c>
      <c r="B62" s="5" t="inlineStr">
        <is>
          <t>Ar:CO2:DME</t>
        </is>
      </c>
      <c r="C62" s="14" t="inlineStr">
        <is>
          <t>B</t>
        </is>
      </c>
      <c r="D62" s="5" t="inlineStr">
        <is>
          <t>Ar:CO2:DME 94:5:1</t>
        </is>
      </c>
      <c r="E62" s="7" t="inlineStr">
        <is>
          <t>co2</t>
        </is>
      </c>
      <c r="F62" s="8" t="n">
        <v>5</v>
      </c>
      <c r="G62" s="7" t="inlineStr">
        <is>
          <t>dme</t>
        </is>
      </c>
      <c r="H62" s="8" t="n">
        <v>1</v>
      </c>
      <c r="I62" s="7" t="n"/>
      <c r="J62" s="8" t="n"/>
      <c r="K62" s="9">
        <f>100-F62-H62-J62</f>
        <v/>
      </c>
      <c r="L62" s="10">
        <f>(K62*INDEX(Components!$D$2:$D$17,MATCH("ar",Components!$A$2:$A$17,0))+IF(E62="",0,F62*INDEX(Components!$D$2:$D$17,MATCH(E62,Components!$A$2:$A$17,0)))+IF(G62="",0,H62*INDEX(Components!$D$2:$D$17,MATCH(G62,Components!$A$2:$A$17,0)))+IF(I62="",0,J62*INDEX(Components!$D$2:$D$17,MATCH(I62,Components!$A$2:$A$17,0))))/100</f>
        <v/>
      </c>
      <c r="M62" s="11">
        <f>K62*INDEX(Components!$D$2:$D$17,MATCH("ar",Components!$A$2:$A$17,0))/(K62*INDEX(Components!$D$2:$D$17,MATCH("ar",Components!$A$2:$A$17,0))+IF(E62="",0,F62*INDEX(Components!$D$2:$D$17,MATCH(E62,Components!$A$2:$A$17,0)))+IF(G62="",0,H62*INDEX(Components!$D$2:$D$17,MATCH(G62,Components!$A$2:$A$17,0)))+IF(I62="",0,J62*INDEX(Components!$D$2:$D$17,MATCH(I62,Components!$A$2:$A$17,0))))</f>
        <v/>
      </c>
      <c r="N62" s="10">
        <f>MIN(15.76,IF(E62="",99,INDEX(Components!$E$2:$E$17,MATCH(E62,Components!$A$2:$A$17,0))),IF(G62="",99,INDEX(Components!$E$2:$E$17,MATCH(G62,Components!$A$2:$A$17,0))),IF(I62="",99,INDEX(Components!$E$2:$E$17,MATCH(I62,Components!$A$2:$A$17,0))))</f>
        <v/>
      </c>
      <c r="O62" s="5">
        <f>IF(N62&lt;11.55,"4s, 4p and higher",IF(N62&lt;12.91,"4p and higher",IF(N62&lt;13.85,"3d/5s and higher",IF(N62&lt;15.76,"high Rydberg only","none"))))</f>
        <v/>
      </c>
      <c r="P62" s="9">
        <f>IF(E62="",0,IF(INDEX(Components!$F$2:$F$17,MATCH(E62,Components!$A$2:$A$17,0))&gt;0,F62,0))+IF(G62="",0,IF(INDEX(Components!$F$2:$F$17,MATCH(G62,Components!$A$2:$A$17,0))&gt;0,H62,0))+IF(I62="",0,IF(INDEX(Components!$F$2:$F$17,MATCH(I62,Components!$A$2:$A$17,0))&gt;0,J62,0))</f>
        <v/>
      </c>
      <c r="Q62" s="5" t="inlineStr">
        <is>
          <t>C, O, H</t>
        </is>
      </c>
      <c r="R62" s="5" t="inlineStr">
        <is>
          <t>none for ternaries: bracket r</t>
        </is>
      </c>
      <c r="S62" s="12">
        <f>IF(C62="A",'Run grid'!$B$4,IF(C62="B",'Run grid'!$B$6,'Run grid'!$B$8))</f>
        <v/>
      </c>
      <c r="T62" s="9">
        <f>S62*'Run grid'!$B$22</f>
        <v/>
      </c>
      <c r="U62" s="5" t="inlineStr">
        <is>
          <t>Low diffusion + DME donor</t>
        </is>
      </c>
      <c r="V62" s="5" t="inlineStr">
        <is>
          <t>Flammable; materials</t>
        </is>
      </c>
      <c r="W62" s="5" t="n"/>
    </row>
    <row r="63">
      <c r="A63" s="5" t="inlineStr">
        <is>
          <t>P16</t>
        </is>
      </c>
      <c r="B63" s="5" t="inlineStr">
        <is>
          <t>Ar:CO2:DME</t>
        </is>
      </c>
      <c r="C63" s="6" t="inlineStr">
        <is>
          <t>C</t>
        </is>
      </c>
      <c r="D63" s="5" t="inlineStr">
        <is>
          <t>Ar:CO2:DME 93:5:2</t>
        </is>
      </c>
      <c r="E63" s="7" t="inlineStr">
        <is>
          <t>co2</t>
        </is>
      </c>
      <c r="F63" s="8" t="n">
        <v>5</v>
      </c>
      <c r="G63" s="7" t="inlineStr">
        <is>
          <t>dme</t>
        </is>
      </c>
      <c r="H63" s="8" t="n">
        <v>2</v>
      </c>
      <c r="I63" s="7" t="n"/>
      <c r="J63" s="8" t="n"/>
      <c r="K63" s="9">
        <f>100-F63-H63-J63</f>
        <v/>
      </c>
      <c r="L63" s="10">
        <f>(K63*INDEX(Components!$D$2:$D$17,MATCH("ar",Components!$A$2:$A$17,0))+IF(E63="",0,F63*INDEX(Components!$D$2:$D$17,MATCH(E63,Components!$A$2:$A$17,0)))+IF(G63="",0,H63*INDEX(Components!$D$2:$D$17,MATCH(G63,Components!$A$2:$A$17,0)))+IF(I63="",0,J63*INDEX(Components!$D$2:$D$17,MATCH(I63,Components!$A$2:$A$17,0))))/100</f>
        <v/>
      </c>
      <c r="M63" s="11">
        <f>K63*INDEX(Components!$D$2:$D$17,MATCH("ar",Components!$A$2:$A$17,0))/(K63*INDEX(Components!$D$2:$D$17,MATCH("ar",Components!$A$2:$A$17,0))+IF(E63="",0,F63*INDEX(Components!$D$2:$D$17,MATCH(E63,Components!$A$2:$A$17,0)))+IF(G63="",0,H63*INDEX(Components!$D$2:$D$17,MATCH(G63,Components!$A$2:$A$17,0)))+IF(I63="",0,J63*INDEX(Components!$D$2:$D$17,MATCH(I63,Components!$A$2:$A$17,0))))</f>
        <v/>
      </c>
      <c r="N63" s="10">
        <f>MIN(15.76,IF(E63="",99,INDEX(Components!$E$2:$E$17,MATCH(E63,Components!$A$2:$A$17,0))),IF(G63="",99,INDEX(Components!$E$2:$E$17,MATCH(G63,Components!$A$2:$A$17,0))),IF(I63="",99,INDEX(Components!$E$2:$E$17,MATCH(I63,Components!$A$2:$A$17,0))))</f>
        <v/>
      </c>
      <c r="O63" s="5">
        <f>IF(N63&lt;11.55,"4s, 4p and higher",IF(N63&lt;12.91,"4p and higher",IF(N63&lt;13.85,"3d/5s and higher",IF(N63&lt;15.76,"high Rydberg only","none"))))</f>
        <v/>
      </c>
      <c r="P63" s="9">
        <f>IF(E63="",0,IF(INDEX(Components!$F$2:$F$17,MATCH(E63,Components!$A$2:$A$17,0))&gt;0,F63,0))+IF(G63="",0,IF(INDEX(Components!$F$2:$F$17,MATCH(G63,Components!$A$2:$A$17,0))&gt;0,H63,0))+IF(I63="",0,IF(INDEX(Components!$F$2:$F$17,MATCH(I63,Components!$A$2:$A$17,0))&gt;0,J63,0))</f>
        <v/>
      </c>
      <c r="Q63" s="5" t="inlineStr">
        <is>
          <t>C, O, H</t>
        </is>
      </c>
      <c r="R63" s="5" t="inlineStr">
        <is>
          <t>none for ternaries: bracket r</t>
        </is>
      </c>
      <c r="S63" s="12">
        <f>IF(C63="A",'Run grid'!$B$4,IF(C63="B",'Run grid'!$B$6,'Run grid'!$B$8))</f>
        <v/>
      </c>
      <c r="T63" s="9">
        <f>S63*'Run grid'!$B$22</f>
        <v/>
      </c>
      <c r="U63" s="5" t="inlineStr">
        <is>
          <t>Low diffusion + DME donor</t>
        </is>
      </c>
      <c r="V63" s="5" t="inlineStr">
        <is>
          <t>Flammable; materials</t>
        </is>
      </c>
      <c r="W63" s="5" t="n"/>
    </row>
    <row r="64">
      <c r="A64" s="5" t="inlineStr">
        <is>
          <t>P17</t>
        </is>
      </c>
      <c r="B64" s="5" t="inlineStr">
        <is>
          <t>Ar:CO2:TMA</t>
        </is>
      </c>
      <c r="C64" s="6" t="inlineStr">
        <is>
          <t>C</t>
        </is>
      </c>
      <c r="D64" s="5" t="inlineStr">
        <is>
          <t>Ar:CO2:TMA 94.5:5:0.5</t>
        </is>
      </c>
      <c r="E64" s="7" t="inlineStr">
        <is>
          <t>co2</t>
        </is>
      </c>
      <c r="F64" s="8" t="n">
        <v>5</v>
      </c>
      <c r="G64" s="7" t="inlineStr">
        <is>
          <t>tma</t>
        </is>
      </c>
      <c r="H64" s="8" t="n">
        <v>0.5</v>
      </c>
      <c r="I64" s="7" t="n"/>
      <c r="J64" s="8" t="n"/>
      <c r="K64" s="9">
        <f>100-F64-H64-J64</f>
        <v/>
      </c>
      <c r="L64" s="10">
        <f>(K64*INDEX(Components!$D$2:$D$17,MATCH("ar",Components!$A$2:$A$17,0))+IF(E64="",0,F64*INDEX(Components!$D$2:$D$17,MATCH(E64,Components!$A$2:$A$17,0)))+IF(G64="",0,H64*INDEX(Components!$D$2:$D$17,MATCH(G64,Components!$A$2:$A$17,0)))+IF(I64="",0,J64*INDEX(Components!$D$2:$D$17,MATCH(I64,Components!$A$2:$A$17,0))))/100</f>
        <v/>
      </c>
      <c r="M64" s="11">
        <f>K64*INDEX(Components!$D$2:$D$17,MATCH("ar",Components!$A$2:$A$17,0))/(K64*INDEX(Components!$D$2:$D$17,MATCH("ar",Components!$A$2:$A$17,0))+IF(E64="",0,F64*INDEX(Components!$D$2:$D$17,MATCH(E64,Components!$A$2:$A$17,0)))+IF(G64="",0,H64*INDEX(Components!$D$2:$D$17,MATCH(G64,Components!$A$2:$A$17,0)))+IF(I64="",0,J64*INDEX(Components!$D$2:$D$17,MATCH(I64,Components!$A$2:$A$17,0))))</f>
        <v/>
      </c>
      <c r="N64" s="10">
        <f>MIN(15.76,IF(E64="",99,INDEX(Components!$E$2:$E$17,MATCH(E64,Components!$A$2:$A$17,0))),IF(G64="",99,INDEX(Components!$E$2:$E$17,MATCH(G64,Components!$A$2:$A$17,0))),IF(I64="",99,INDEX(Components!$E$2:$E$17,MATCH(I64,Components!$A$2:$A$17,0))))</f>
        <v/>
      </c>
      <c r="O64" s="5">
        <f>IF(N64&lt;11.55,"4s, 4p and higher",IF(N64&lt;12.91,"4p and higher",IF(N64&lt;13.85,"3d/5s and higher",IF(N64&lt;15.76,"high Rydberg only","none"))))</f>
        <v/>
      </c>
      <c r="P64" s="9">
        <f>IF(E64="",0,IF(INDEX(Components!$F$2:$F$17,MATCH(E64,Components!$A$2:$A$17,0))&gt;0,F64,0))+IF(G64="",0,IF(INDEX(Components!$F$2:$F$17,MATCH(G64,Components!$A$2:$A$17,0))&gt;0,H64,0))+IF(I64="",0,IF(INDEX(Components!$F$2:$F$17,MATCH(I64,Components!$A$2:$A$17,0))&gt;0,J64,0))</f>
        <v/>
      </c>
      <c r="Q64" s="5" t="inlineStr">
        <is>
          <t>C, O, H, N</t>
        </is>
      </c>
      <c r="R64" s="5" t="inlineStr">
        <is>
          <t>none for ternaries: bracket r</t>
        </is>
      </c>
      <c r="S64" s="12">
        <f>IF(C64="A",'Run grid'!$B$4,IF(C64="B",'Run grid'!$B$6,'Run grid'!$B$8))</f>
        <v/>
      </c>
      <c r="T64" s="9">
        <f>S64*'Run grid'!$B$22</f>
        <v/>
      </c>
      <c r="U64" s="5" t="inlineStr">
        <is>
          <t>Low diffusion + trace TMA</t>
        </is>
      </c>
      <c r="V64" s="5" t="inlineStr">
        <is>
          <t>Toxic, reactive</t>
        </is>
      </c>
      <c r="W64" s="5" t="n"/>
    </row>
    <row r="65">
      <c r="A65" s="5" t="inlineStr">
        <is>
          <t>P18</t>
        </is>
      </c>
      <c r="B65" s="5" t="inlineStr">
        <is>
          <t>Ar:CO2:C2H6</t>
        </is>
      </c>
      <c r="C65" s="6" t="inlineStr">
        <is>
          <t>C</t>
        </is>
      </c>
      <c r="D65" s="5" t="inlineStr">
        <is>
          <t>Ar:CO2:C2H6 92:5:3</t>
        </is>
      </c>
      <c r="E65" s="7" t="inlineStr">
        <is>
          <t>co2</t>
        </is>
      </c>
      <c r="F65" s="8" t="n">
        <v>5</v>
      </c>
      <c r="G65" s="7" t="inlineStr">
        <is>
          <t>c2h6</t>
        </is>
      </c>
      <c r="H65" s="8" t="n">
        <v>3</v>
      </c>
      <c r="I65" s="7" t="n"/>
      <c r="J65" s="8" t="n"/>
      <c r="K65" s="9">
        <f>100-F65-H65-J65</f>
        <v/>
      </c>
      <c r="L65" s="10">
        <f>(K65*INDEX(Components!$D$2:$D$17,MATCH("ar",Components!$A$2:$A$17,0))+IF(E65="",0,F65*INDEX(Components!$D$2:$D$17,MATCH(E65,Components!$A$2:$A$17,0)))+IF(G65="",0,H65*INDEX(Components!$D$2:$D$17,MATCH(G65,Components!$A$2:$A$17,0)))+IF(I65="",0,J65*INDEX(Components!$D$2:$D$17,MATCH(I65,Components!$A$2:$A$17,0))))/100</f>
        <v/>
      </c>
      <c r="M65" s="11">
        <f>K65*INDEX(Components!$D$2:$D$17,MATCH("ar",Components!$A$2:$A$17,0))/(K65*INDEX(Components!$D$2:$D$17,MATCH("ar",Components!$A$2:$A$17,0))+IF(E65="",0,F65*INDEX(Components!$D$2:$D$17,MATCH(E65,Components!$A$2:$A$17,0)))+IF(G65="",0,H65*INDEX(Components!$D$2:$D$17,MATCH(G65,Components!$A$2:$A$17,0)))+IF(I65="",0,J65*INDEX(Components!$D$2:$D$17,MATCH(I65,Components!$A$2:$A$17,0))))</f>
        <v/>
      </c>
      <c r="N65" s="10">
        <f>MIN(15.76,IF(E65="",99,INDEX(Components!$E$2:$E$17,MATCH(E65,Components!$A$2:$A$17,0))),IF(G65="",99,INDEX(Components!$E$2:$E$17,MATCH(G65,Components!$A$2:$A$17,0))),IF(I65="",99,INDEX(Components!$E$2:$E$17,MATCH(I65,Components!$A$2:$A$17,0))))</f>
        <v/>
      </c>
      <c r="O65" s="5">
        <f>IF(N65&lt;11.55,"4s, 4p and higher",IF(N65&lt;12.91,"4p and higher",IF(N65&lt;13.85,"3d/5s and higher",IF(N65&lt;15.76,"high Rydberg only","none"))))</f>
        <v/>
      </c>
      <c r="P65" s="9">
        <f>IF(E65="",0,IF(INDEX(Components!$F$2:$F$17,MATCH(E65,Components!$A$2:$A$17,0))&gt;0,F65,0))+IF(G65="",0,IF(INDEX(Components!$F$2:$F$17,MATCH(G65,Components!$A$2:$A$17,0))&gt;0,H65,0))+IF(I65="",0,IF(INDEX(Components!$F$2:$F$17,MATCH(I65,Components!$A$2:$A$17,0))&gt;0,J65,0))</f>
        <v/>
      </c>
      <c r="Q65" s="5" t="inlineStr">
        <is>
          <t>C, O, H</t>
        </is>
      </c>
      <c r="R65" s="5" t="inlineStr">
        <is>
          <t>none for ternaries: bracket r</t>
        </is>
      </c>
      <c r="S65" s="12">
        <f>IF(C65="A",'Run grid'!$B$4,IF(C65="B",'Run grid'!$B$6,'Run grid'!$B$8))</f>
        <v/>
      </c>
      <c r="T65" s="9">
        <f>S65*'Run grid'!$B$22</f>
        <v/>
      </c>
      <c r="U65" s="5" t="inlineStr">
        <is>
          <t>Low diffusion + ethane</t>
        </is>
      </c>
      <c r="V65" s="5" t="inlineStr">
        <is>
          <t>Flammable</t>
        </is>
      </c>
      <c r="W65" s="5" t="n"/>
    </row>
    <row r="66">
      <c r="A66" s="5" t="inlineStr">
        <is>
          <t>F01</t>
        </is>
      </c>
      <c r="B66" s="5" t="inlineStr">
        <is>
          <t>Ar:CF4:iC4H10</t>
        </is>
      </c>
      <c r="C66" s="13" t="inlineStr">
        <is>
          <t>A</t>
        </is>
      </c>
      <c r="D66" s="5" t="inlineStr">
        <is>
          <t>Ar:CF4:iC4H10 95:3:2</t>
        </is>
      </c>
      <c r="E66" s="7" t="inlineStr">
        <is>
          <t>cf4</t>
        </is>
      </c>
      <c r="F66" s="8" t="n">
        <v>3</v>
      </c>
      <c r="G66" s="7" t="inlineStr">
        <is>
          <t>ic4h10</t>
        </is>
      </c>
      <c r="H66" s="8" t="n">
        <v>2</v>
      </c>
      <c r="I66" s="7" t="n"/>
      <c r="J66" s="8" t="n"/>
      <c r="K66" s="9">
        <f>100-F66-H66-J66</f>
        <v/>
      </c>
      <c r="L66" s="10">
        <f>(K66*INDEX(Components!$D$2:$D$17,MATCH("ar",Components!$A$2:$A$17,0))+IF(E66="",0,F66*INDEX(Components!$D$2:$D$17,MATCH(E66,Components!$A$2:$A$17,0)))+IF(G66="",0,H66*INDEX(Components!$D$2:$D$17,MATCH(G66,Components!$A$2:$A$17,0)))+IF(I66="",0,J66*INDEX(Components!$D$2:$D$17,MATCH(I66,Components!$A$2:$A$17,0))))/100</f>
        <v/>
      </c>
      <c r="M66" s="11">
        <f>K66*INDEX(Components!$D$2:$D$17,MATCH("ar",Components!$A$2:$A$17,0))/(K66*INDEX(Components!$D$2:$D$17,MATCH("ar",Components!$A$2:$A$17,0))+IF(E66="",0,F66*INDEX(Components!$D$2:$D$17,MATCH(E66,Components!$A$2:$A$17,0)))+IF(G66="",0,H66*INDEX(Components!$D$2:$D$17,MATCH(G66,Components!$A$2:$A$17,0)))+IF(I66="",0,J66*INDEX(Components!$D$2:$D$17,MATCH(I66,Components!$A$2:$A$17,0))))</f>
        <v/>
      </c>
      <c r="N66" s="10">
        <f>MIN(15.76,IF(E66="",99,INDEX(Components!$E$2:$E$17,MATCH(E66,Components!$A$2:$A$17,0))),IF(G66="",99,INDEX(Components!$E$2:$E$17,MATCH(G66,Components!$A$2:$A$17,0))),IF(I66="",99,INDEX(Components!$E$2:$E$17,MATCH(I66,Components!$A$2:$A$17,0))))</f>
        <v/>
      </c>
      <c r="O66" s="5">
        <f>IF(N66&lt;11.55,"4s, 4p and higher",IF(N66&lt;12.91,"4p and higher",IF(N66&lt;13.85,"3d/5s and higher",IF(N66&lt;15.76,"high Rydberg only","none"))))</f>
        <v/>
      </c>
      <c r="P66" s="9">
        <f>IF(E66="",0,IF(INDEX(Components!$F$2:$F$17,MATCH(E66,Components!$A$2:$A$17,0))&gt;0,F66,0))+IF(G66="",0,IF(INDEX(Components!$F$2:$F$17,MATCH(G66,Components!$A$2:$A$17,0))&gt;0,H66,0))+IF(I66="",0,IF(INDEX(Components!$F$2:$F$17,MATCH(I66,Components!$A$2:$A$17,0))&gt;0,J66,0))</f>
        <v/>
      </c>
      <c r="Q66" s="5" t="inlineStr">
        <is>
          <t>C, F, H</t>
        </is>
      </c>
      <c r="R66" s="5" t="inlineStr">
        <is>
          <t>none for ternaries: bracket r</t>
        </is>
      </c>
      <c r="S66" s="12">
        <f>IF(C66="A",'Run grid'!$B$4,IF(C66="B",'Run grid'!$B$6,'Run grid'!$B$8))</f>
        <v/>
      </c>
      <c r="T66" s="9">
        <f>S66*'Run grid'!$B$22</f>
        <v/>
      </c>
      <c r="U66" s="5" t="inlineStr">
        <is>
          <t>T2K gas: proven Ar-rich TPC mixture</t>
        </is>
      </c>
      <c r="V66" s="5" t="inlineStr">
        <is>
          <t>CF4 attachment at 10 bar hole fields</t>
        </is>
      </c>
      <c r="W66" s="5" t="inlineStr">
        <is>
          <t>T2K TPC drift velocity, diffusion (1 bar)</t>
        </is>
      </c>
    </row>
    <row r="67">
      <c r="A67" s="5" t="inlineStr">
        <is>
          <t>F02</t>
        </is>
      </c>
      <c r="B67" s="5" t="inlineStr">
        <is>
          <t>Ar:CF4:iC4H10</t>
        </is>
      </c>
      <c r="C67" s="14" t="inlineStr">
        <is>
          <t>B</t>
        </is>
      </c>
      <c r="D67" s="5" t="inlineStr">
        <is>
          <t>Ar:CF4:iC4H10 94:3:3</t>
        </is>
      </c>
      <c r="E67" s="7" t="inlineStr">
        <is>
          <t>cf4</t>
        </is>
      </c>
      <c r="F67" s="8" t="n">
        <v>3</v>
      </c>
      <c r="G67" s="7" t="inlineStr">
        <is>
          <t>ic4h10</t>
        </is>
      </c>
      <c r="H67" s="8" t="n">
        <v>3</v>
      </c>
      <c r="I67" s="7" t="n"/>
      <c r="J67" s="8" t="n"/>
      <c r="K67" s="9">
        <f>100-F67-H67-J67</f>
        <v/>
      </c>
      <c r="L67" s="10">
        <f>(K67*INDEX(Components!$D$2:$D$17,MATCH("ar",Components!$A$2:$A$17,0))+IF(E67="",0,F67*INDEX(Components!$D$2:$D$17,MATCH(E67,Components!$A$2:$A$17,0)))+IF(G67="",0,H67*INDEX(Components!$D$2:$D$17,MATCH(G67,Components!$A$2:$A$17,0)))+IF(I67="",0,J67*INDEX(Components!$D$2:$D$17,MATCH(I67,Components!$A$2:$A$17,0))))/100</f>
        <v/>
      </c>
      <c r="M67" s="11">
        <f>K67*INDEX(Components!$D$2:$D$17,MATCH("ar",Components!$A$2:$A$17,0))/(K67*INDEX(Components!$D$2:$D$17,MATCH("ar",Components!$A$2:$A$17,0))+IF(E67="",0,F67*INDEX(Components!$D$2:$D$17,MATCH(E67,Components!$A$2:$A$17,0)))+IF(G67="",0,H67*INDEX(Components!$D$2:$D$17,MATCH(G67,Components!$A$2:$A$17,0)))+IF(I67="",0,J67*INDEX(Components!$D$2:$D$17,MATCH(I67,Components!$A$2:$A$17,0))))</f>
        <v/>
      </c>
      <c r="N67" s="10">
        <f>MIN(15.76,IF(E67="",99,INDEX(Components!$E$2:$E$17,MATCH(E67,Components!$A$2:$A$17,0))),IF(G67="",99,INDEX(Components!$E$2:$E$17,MATCH(G67,Components!$A$2:$A$17,0))),IF(I67="",99,INDEX(Components!$E$2:$E$17,MATCH(I67,Components!$A$2:$A$17,0))))</f>
        <v/>
      </c>
      <c r="O67" s="5">
        <f>IF(N67&lt;11.55,"4s, 4p and higher",IF(N67&lt;12.91,"4p and higher",IF(N67&lt;13.85,"3d/5s and higher",IF(N67&lt;15.76,"high Rydberg only","none"))))</f>
        <v/>
      </c>
      <c r="P67" s="9">
        <f>IF(E67="",0,IF(INDEX(Components!$F$2:$F$17,MATCH(E67,Components!$A$2:$A$17,0))&gt;0,F67,0))+IF(G67="",0,IF(INDEX(Components!$F$2:$F$17,MATCH(G67,Components!$A$2:$A$17,0))&gt;0,H67,0))+IF(I67="",0,IF(INDEX(Components!$F$2:$F$17,MATCH(I67,Components!$A$2:$A$17,0))&gt;0,J67,0))</f>
        <v/>
      </c>
      <c r="Q67" s="5" t="inlineStr">
        <is>
          <t>C, F, H</t>
        </is>
      </c>
      <c r="R67" s="5" t="inlineStr">
        <is>
          <t>none for ternaries: bracket r</t>
        </is>
      </c>
      <c r="S67" s="12">
        <f>IF(C67="A",'Run grid'!$B$4,IF(C67="B",'Run grid'!$B$6,'Run grid'!$B$8))</f>
        <v/>
      </c>
      <c r="T67" s="9">
        <f>S67*'Run grid'!$B$22</f>
        <v/>
      </c>
      <c r="U67" s="5" t="inlineStr">
        <is>
          <t>T2K gas with more donor</t>
        </is>
      </c>
      <c r="V67" s="5" t="inlineStr">
        <is>
          <t>Flammable</t>
        </is>
      </c>
      <c r="W67" s="5" t="n"/>
    </row>
    <row r="68">
      <c r="A68" s="5" t="inlineStr">
        <is>
          <t>F03</t>
        </is>
      </c>
      <c r="B68" s="5" t="inlineStr">
        <is>
          <t>Ar:CF4:iC4H10</t>
        </is>
      </c>
      <c r="C68" s="14" t="inlineStr">
        <is>
          <t>B</t>
        </is>
      </c>
      <c r="D68" s="5" t="inlineStr">
        <is>
          <t>Ar:CF4:iC4H10 93:5:2</t>
        </is>
      </c>
      <c r="E68" s="7" t="inlineStr">
        <is>
          <t>cf4</t>
        </is>
      </c>
      <c r="F68" s="8" t="n">
        <v>5</v>
      </c>
      <c r="G68" s="7" t="inlineStr">
        <is>
          <t>ic4h10</t>
        </is>
      </c>
      <c r="H68" s="8" t="n">
        <v>2</v>
      </c>
      <c r="I68" s="7" t="n"/>
      <c r="J68" s="8" t="n"/>
      <c r="K68" s="9">
        <f>100-F68-H68-J68</f>
        <v/>
      </c>
      <c r="L68" s="10">
        <f>(K68*INDEX(Components!$D$2:$D$17,MATCH("ar",Components!$A$2:$A$17,0))+IF(E68="",0,F68*INDEX(Components!$D$2:$D$17,MATCH(E68,Components!$A$2:$A$17,0)))+IF(G68="",0,H68*INDEX(Components!$D$2:$D$17,MATCH(G68,Components!$A$2:$A$17,0)))+IF(I68="",0,J68*INDEX(Components!$D$2:$D$17,MATCH(I68,Components!$A$2:$A$17,0))))/100</f>
        <v/>
      </c>
      <c r="M68" s="11">
        <f>K68*INDEX(Components!$D$2:$D$17,MATCH("ar",Components!$A$2:$A$17,0))/(K68*INDEX(Components!$D$2:$D$17,MATCH("ar",Components!$A$2:$A$17,0))+IF(E68="",0,F68*INDEX(Components!$D$2:$D$17,MATCH(E68,Components!$A$2:$A$17,0)))+IF(G68="",0,H68*INDEX(Components!$D$2:$D$17,MATCH(G68,Components!$A$2:$A$17,0)))+IF(I68="",0,J68*INDEX(Components!$D$2:$D$17,MATCH(I68,Components!$A$2:$A$17,0))))</f>
        <v/>
      </c>
      <c r="N68" s="10">
        <f>MIN(15.76,IF(E68="",99,INDEX(Components!$E$2:$E$17,MATCH(E68,Components!$A$2:$A$17,0))),IF(G68="",99,INDEX(Components!$E$2:$E$17,MATCH(G68,Components!$A$2:$A$17,0))),IF(I68="",99,INDEX(Components!$E$2:$E$17,MATCH(I68,Components!$A$2:$A$17,0))))</f>
        <v/>
      </c>
      <c r="O68" s="5">
        <f>IF(N68&lt;11.55,"4s, 4p and higher",IF(N68&lt;12.91,"4p and higher",IF(N68&lt;13.85,"3d/5s and higher",IF(N68&lt;15.76,"high Rydberg only","none"))))</f>
        <v/>
      </c>
      <c r="P68" s="9">
        <f>IF(E68="",0,IF(INDEX(Components!$F$2:$F$17,MATCH(E68,Components!$A$2:$A$17,0))&gt;0,F68,0))+IF(G68="",0,IF(INDEX(Components!$F$2:$F$17,MATCH(G68,Components!$A$2:$A$17,0))&gt;0,H68,0))+IF(I68="",0,IF(INDEX(Components!$F$2:$F$17,MATCH(I68,Components!$A$2:$A$17,0))&gt;0,J68,0))</f>
        <v/>
      </c>
      <c r="Q68" s="5" t="inlineStr">
        <is>
          <t>C, F, H</t>
        </is>
      </c>
      <c r="R68" s="5" t="inlineStr">
        <is>
          <t>none for ternaries: bracket r</t>
        </is>
      </c>
      <c r="S68" s="12">
        <f>IF(C68="A",'Run grid'!$B$4,IF(C68="B",'Run grid'!$B$6,'Run grid'!$B$8))</f>
        <v/>
      </c>
      <c r="T68" s="9">
        <f>S68*'Run grid'!$B$22</f>
        <v/>
      </c>
      <c r="U68" s="5" t="inlineStr">
        <is>
          <t>T2K gas with more CF4</t>
        </is>
      </c>
      <c r="V68" s="5" t="inlineStr">
        <is>
          <t>More attachment</t>
        </is>
      </c>
      <c r="W68" s="5" t="n"/>
    </row>
    <row r="69">
      <c r="A69" s="5" t="inlineStr">
        <is>
          <t>F04</t>
        </is>
      </c>
      <c r="B69" s="5" t="inlineStr">
        <is>
          <t>Ar:CF4:CH4</t>
        </is>
      </c>
      <c r="C69" s="14" t="inlineStr">
        <is>
          <t>B</t>
        </is>
      </c>
      <c r="D69" s="5" t="inlineStr">
        <is>
          <t>Ar:CF4:CH4 92:3:5</t>
        </is>
      </c>
      <c r="E69" s="7" t="inlineStr">
        <is>
          <t>cf4</t>
        </is>
      </c>
      <c r="F69" s="8" t="n">
        <v>3</v>
      </c>
      <c r="G69" s="7" t="inlineStr">
        <is>
          <t>ch4</t>
        </is>
      </c>
      <c r="H69" s="8" t="n">
        <v>5</v>
      </c>
      <c r="I69" s="7" t="n"/>
      <c r="J69" s="8" t="n"/>
      <c r="K69" s="9">
        <f>100-F69-H69-J69</f>
        <v/>
      </c>
      <c r="L69" s="10">
        <f>(K69*INDEX(Components!$D$2:$D$17,MATCH("ar",Components!$A$2:$A$17,0))+IF(E69="",0,F69*INDEX(Components!$D$2:$D$17,MATCH(E69,Components!$A$2:$A$17,0)))+IF(G69="",0,H69*INDEX(Components!$D$2:$D$17,MATCH(G69,Components!$A$2:$A$17,0)))+IF(I69="",0,J69*INDEX(Components!$D$2:$D$17,MATCH(I69,Components!$A$2:$A$17,0))))/100</f>
        <v/>
      </c>
      <c r="M69" s="11">
        <f>K69*INDEX(Components!$D$2:$D$17,MATCH("ar",Components!$A$2:$A$17,0))/(K69*INDEX(Components!$D$2:$D$17,MATCH("ar",Components!$A$2:$A$17,0))+IF(E69="",0,F69*INDEX(Components!$D$2:$D$17,MATCH(E69,Components!$A$2:$A$17,0)))+IF(G69="",0,H69*INDEX(Components!$D$2:$D$17,MATCH(G69,Components!$A$2:$A$17,0)))+IF(I69="",0,J69*INDEX(Components!$D$2:$D$17,MATCH(I69,Components!$A$2:$A$17,0))))</f>
        <v/>
      </c>
      <c r="N69" s="10">
        <f>MIN(15.76,IF(E69="",99,INDEX(Components!$E$2:$E$17,MATCH(E69,Components!$A$2:$A$17,0))),IF(G69="",99,INDEX(Components!$E$2:$E$17,MATCH(G69,Components!$A$2:$A$17,0))),IF(I69="",99,INDEX(Components!$E$2:$E$17,MATCH(I69,Components!$A$2:$A$17,0))))</f>
        <v/>
      </c>
      <c r="O69" s="5">
        <f>IF(N69&lt;11.55,"4s, 4p and higher",IF(N69&lt;12.91,"4p and higher",IF(N69&lt;13.85,"3d/5s and higher",IF(N69&lt;15.76,"high Rydberg only","none"))))</f>
        <v/>
      </c>
      <c r="P69" s="9">
        <f>IF(E69="",0,IF(INDEX(Components!$F$2:$F$17,MATCH(E69,Components!$A$2:$A$17,0))&gt;0,F69,0))+IF(G69="",0,IF(INDEX(Components!$F$2:$F$17,MATCH(G69,Components!$A$2:$A$17,0))&gt;0,H69,0))+IF(I69="",0,IF(INDEX(Components!$F$2:$F$17,MATCH(I69,Components!$A$2:$A$17,0))&gt;0,J69,0))</f>
        <v/>
      </c>
      <c r="Q69" s="5" t="inlineStr">
        <is>
          <t>C, F, H</t>
        </is>
      </c>
      <c r="R69" s="5" t="inlineStr">
        <is>
          <t>none for ternaries: bracket r</t>
        </is>
      </c>
      <c r="S69" s="12">
        <f>IF(C69="A",'Run grid'!$B$4,IF(C69="B",'Run grid'!$B$6,'Run grid'!$B$8))</f>
        <v/>
      </c>
      <c r="T69" s="9">
        <f>S69*'Run grid'!$B$22</f>
        <v/>
      </c>
      <c r="U69" s="5" t="inlineStr">
        <is>
          <t>CH4 instead of isobutane</t>
        </is>
      </c>
      <c r="V69" s="5" t="n"/>
      <c r="W69" s="5" t="n"/>
    </row>
    <row r="70">
      <c r="A70" s="5" t="inlineStr">
        <is>
          <t>F05</t>
        </is>
      </c>
      <c r="B70" s="5" t="inlineStr">
        <is>
          <t>Ar:CF4:CH4</t>
        </is>
      </c>
      <c r="C70" s="6" t="inlineStr">
        <is>
          <t>C</t>
        </is>
      </c>
      <c r="D70" s="5" t="inlineStr">
        <is>
          <t>Ar:CF4:CH4 90:5:5</t>
        </is>
      </c>
      <c r="E70" s="7" t="inlineStr">
        <is>
          <t>cf4</t>
        </is>
      </c>
      <c r="F70" s="8" t="n">
        <v>5</v>
      </c>
      <c r="G70" s="7" t="inlineStr">
        <is>
          <t>ch4</t>
        </is>
      </c>
      <c r="H70" s="8" t="n">
        <v>5</v>
      </c>
      <c r="I70" s="7" t="n"/>
      <c r="J70" s="8" t="n"/>
      <c r="K70" s="9">
        <f>100-F70-H70-J70</f>
        <v/>
      </c>
      <c r="L70" s="10">
        <f>(K70*INDEX(Components!$D$2:$D$17,MATCH("ar",Components!$A$2:$A$17,0))+IF(E70="",0,F70*INDEX(Components!$D$2:$D$17,MATCH(E70,Components!$A$2:$A$17,0)))+IF(G70="",0,H70*INDEX(Components!$D$2:$D$17,MATCH(G70,Components!$A$2:$A$17,0)))+IF(I70="",0,J70*INDEX(Components!$D$2:$D$17,MATCH(I70,Components!$A$2:$A$17,0))))/100</f>
        <v/>
      </c>
      <c r="M70" s="11">
        <f>K70*INDEX(Components!$D$2:$D$17,MATCH("ar",Components!$A$2:$A$17,0))/(K70*INDEX(Components!$D$2:$D$17,MATCH("ar",Components!$A$2:$A$17,0))+IF(E70="",0,F70*INDEX(Components!$D$2:$D$17,MATCH(E70,Components!$A$2:$A$17,0)))+IF(G70="",0,H70*INDEX(Components!$D$2:$D$17,MATCH(G70,Components!$A$2:$A$17,0)))+IF(I70="",0,J70*INDEX(Components!$D$2:$D$17,MATCH(I70,Components!$A$2:$A$17,0))))</f>
        <v/>
      </c>
      <c r="N70" s="10">
        <f>MIN(15.76,IF(E70="",99,INDEX(Components!$E$2:$E$17,MATCH(E70,Components!$A$2:$A$17,0))),IF(G70="",99,INDEX(Components!$E$2:$E$17,MATCH(G70,Components!$A$2:$A$17,0))),IF(I70="",99,INDEX(Components!$E$2:$E$17,MATCH(I70,Components!$A$2:$A$17,0))))</f>
        <v/>
      </c>
      <c r="O70" s="5">
        <f>IF(N70&lt;11.55,"4s, 4p and higher",IF(N70&lt;12.91,"4p and higher",IF(N70&lt;13.85,"3d/5s and higher",IF(N70&lt;15.76,"high Rydberg only","none"))))</f>
        <v/>
      </c>
      <c r="P70" s="9">
        <f>IF(E70="",0,IF(INDEX(Components!$F$2:$F$17,MATCH(E70,Components!$A$2:$A$17,0))&gt;0,F70,0))+IF(G70="",0,IF(INDEX(Components!$F$2:$F$17,MATCH(G70,Components!$A$2:$A$17,0))&gt;0,H70,0))+IF(I70="",0,IF(INDEX(Components!$F$2:$F$17,MATCH(I70,Components!$A$2:$A$17,0))&gt;0,J70,0))</f>
        <v/>
      </c>
      <c r="Q70" s="5" t="inlineStr">
        <is>
          <t>C, F, H</t>
        </is>
      </c>
      <c r="R70" s="5" t="inlineStr">
        <is>
          <t>none for ternaries: bracket r</t>
        </is>
      </c>
      <c r="S70" s="12">
        <f>IF(C70="A",'Run grid'!$B$4,IF(C70="B",'Run grid'!$B$6,'Run grid'!$B$8))</f>
        <v/>
      </c>
      <c r="T70" s="9">
        <f>S70*'Run grid'!$B$22</f>
        <v/>
      </c>
      <c r="U70" s="5" t="inlineStr">
        <is>
          <t>CH4 instead of isobutane</t>
        </is>
      </c>
      <c r="V70" s="5" t="n"/>
      <c r="W70" s="5" t="n"/>
    </row>
    <row r="71">
      <c r="A71" s="5" t="inlineStr">
        <is>
          <t>F06</t>
        </is>
      </c>
      <c r="B71" s="5" t="inlineStr">
        <is>
          <t>Ar:CF4:C2H6</t>
        </is>
      </c>
      <c r="C71" s="6" t="inlineStr">
        <is>
          <t>C</t>
        </is>
      </c>
      <c r="D71" s="5" t="inlineStr">
        <is>
          <t>Ar:CF4:C2H6 95:3:2</t>
        </is>
      </c>
      <c r="E71" s="7" t="inlineStr">
        <is>
          <t>cf4</t>
        </is>
      </c>
      <c r="F71" s="8" t="n">
        <v>3</v>
      </c>
      <c r="G71" s="7" t="inlineStr">
        <is>
          <t>c2h6</t>
        </is>
      </c>
      <c r="H71" s="8" t="n">
        <v>2</v>
      </c>
      <c r="I71" s="7" t="n"/>
      <c r="J71" s="8" t="n"/>
      <c r="K71" s="9">
        <f>100-F71-H71-J71</f>
        <v/>
      </c>
      <c r="L71" s="10">
        <f>(K71*INDEX(Components!$D$2:$D$17,MATCH("ar",Components!$A$2:$A$17,0))+IF(E71="",0,F71*INDEX(Components!$D$2:$D$17,MATCH(E71,Components!$A$2:$A$17,0)))+IF(G71="",0,H71*INDEX(Components!$D$2:$D$17,MATCH(G71,Components!$A$2:$A$17,0)))+IF(I71="",0,J71*INDEX(Components!$D$2:$D$17,MATCH(I71,Components!$A$2:$A$17,0))))/100</f>
        <v/>
      </c>
      <c r="M71" s="11">
        <f>K71*INDEX(Components!$D$2:$D$17,MATCH("ar",Components!$A$2:$A$17,0))/(K71*INDEX(Components!$D$2:$D$17,MATCH("ar",Components!$A$2:$A$17,0))+IF(E71="",0,F71*INDEX(Components!$D$2:$D$17,MATCH(E71,Components!$A$2:$A$17,0)))+IF(G71="",0,H71*INDEX(Components!$D$2:$D$17,MATCH(G71,Components!$A$2:$A$17,0)))+IF(I71="",0,J71*INDEX(Components!$D$2:$D$17,MATCH(I71,Components!$A$2:$A$17,0))))</f>
        <v/>
      </c>
      <c r="N71" s="10">
        <f>MIN(15.76,IF(E71="",99,INDEX(Components!$E$2:$E$17,MATCH(E71,Components!$A$2:$A$17,0))),IF(G71="",99,INDEX(Components!$E$2:$E$17,MATCH(G71,Components!$A$2:$A$17,0))),IF(I71="",99,INDEX(Components!$E$2:$E$17,MATCH(I71,Components!$A$2:$A$17,0))))</f>
        <v/>
      </c>
      <c r="O71" s="5">
        <f>IF(N71&lt;11.55,"4s, 4p and higher",IF(N71&lt;12.91,"4p and higher",IF(N71&lt;13.85,"3d/5s and higher",IF(N71&lt;15.76,"high Rydberg only","none"))))</f>
        <v/>
      </c>
      <c r="P71" s="9">
        <f>IF(E71="",0,IF(INDEX(Components!$F$2:$F$17,MATCH(E71,Components!$A$2:$A$17,0))&gt;0,F71,0))+IF(G71="",0,IF(INDEX(Components!$F$2:$F$17,MATCH(G71,Components!$A$2:$A$17,0))&gt;0,H71,0))+IF(I71="",0,IF(INDEX(Components!$F$2:$F$17,MATCH(I71,Components!$A$2:$A$17,0))&gt;0,J71,0))</f>
        <v/>
      </c>
      <c r="Q71" s="5" t="inlineStr">
        <is>
          <t>C, F, H</t>
        </is>
      </c>
      <c r="R71" s="5" t="inlineStr">
        <is>
          <t>none for ternaries: bracket r</t>
        </is>
      </c>
      <c r="S71" s="12">
        <f>IF(C71="A",'Run grid'!$B$4,IF(C71="B",'Run grid'!$B$6,'Run grid'!$B$8))</f>
        <v/>
      </c>
      <c r="T71" s="9">
        <f>S71*'Run grid'!$B$22</f>
        <v/>
      </c>
      <c r="U71" s="5" t="inlineStr">
        <is>
          <t>Ethane instead of isobutane</t>
        </is>
      </c>
      <c r="V71" s="5" t="inlineStr">
        <is>
          <t>Flammable</t>
        </is>
      </c>
      <c r="W71" s="5" t="n"/>
    </row>
    <row r="72">
      <c r="A72" s="5" t="inlineStr">
        <is>
          <t>F07</t>
        </is>
      </c>
      <c r="B72" s="5" t="inlineStr">
        <is>
          <t>Ar:CF4:DME</t>
        </is>
      </c>
      <c r="C72" s="6" t="inlineStr">
        <is>
          <t>C</t>
        </is>
      </c>
      <c r="D72" s="5" t="inlineStr">
        <is>
          <t>Ar:CF4:DME 95:3:2</t>
        </is>
      </c>
      <c r="E72" s="7" t="inlineStr">
        <is>
          <t>cf4</t>
        </is>
      </c>
      <c r="F72" s="8" t="n">
        <v>3</v>
      </c>
      <c r="G72" s="7" t="inlineStr">
        <is>
          <t>dme</t>
        </is>
      </c>
      <c r="H72" s="8" t="n">
        <v>2</v>
      </c>
      <c r="I72" s="7" t="n"/>
      <c r="J72" s="8" t="n"/>
      <c r="K72" s="9">
        <f>100-F72-H72-J72</f>
        <v/>
      </c>
      <c r="L72" s="10">
        <f>(K72*INDEX(Components!$D$2:$D$17,MATCH("ar",Components!$A$2:$A$17,0))+IF(E72="",0,F72*INDEX(Components!$D$2:$D$17,MATCH(E72,Components!$A$2:$A$17,0)))+IF(G72="",0,H72*INDEX(Components!$D$2:$D$17,MATCH(G72,Components!$A$2:$A$17,0)))+IF(I72="",0,J72*INDEX(Components!$D$2:$D$17,MATCH(I72,Components!$A$2:$A$17,0))))/100</f>
        <v/>
      </c>
      <c r="M72" s="11">
        <f>K72*INDEX(Components!$D$2:$D$17,MATCH("ar",Components!$A$2:$A$17,0))/(K72*INDEX(Components!$D$2:$D$17,MATCH("ar",Components!$A$2:$A$17,0))+IF(E72="",0,F72*INDEX(Components!$D$2:$D$17,MATCH(E72,Components!$A$2:$A$17,0)))+IF(G72="",0,H72*INDEX(Components!$D$2:$D$17,MATCH(G72,Components!$A$2:$A$17,0)))+IF(I72="",0,J72*INDEX(Components!$D$2:$D$17,MATCH(I72,Components!$A$2:$A$17,0))))</f>
        <v/>
      </c>
      <c r="N72" s="10">
        <f>MIN(15.76,IF(E72="",99,INDEX(Components!$E$2:$E$17,MATCH(E72,Components!$A$2:$A$17,0))),IF(G72="",99,INDEX(Components!$E$2:$E$17,MATCH(G72,Components!$A$2:$A$17,0))),IF(I72="",99,INDEX(Components!$E$2:$E$17,MATCH(I72,Components!$A$2:$A$17,0))))</f>
        <v/>
      </c>
      <c r="O72" s="5">
        <f>IF(N72&lt;11.55,"4s, 4p and higher",IF(N72&lt;12.91,"4p and higher",IF(N72&lt;13.85,"3d/5s and higher",IF(N72&lt;15.76,"high Rydberg only","none"))))</f>
        <v/>
      </c>
      <c r="P72" s="9">
        <f>IF(E72="",0,IF(INDEX(Components!$F$2:$F$17,MATCH(E72,Components!$A$2:$A$17,0))&gt;0,F72,0))+IF(G72="",0,IF(INDEX(Components!$F$2:$F$17,MATCH(G72,Components!$A$2:$A$17,0))&gt;0,H72,0))+IF(I72="",0,IF(INDEX(Components!$F$2:$F$17,MATCH(I72,Components!$A$2:$A$17,0))&gt;0,J72,0))</f>
        <v/>
      </c>
      <c r="Q72" s="5" t="inlineStr">
        <is>
          <t>C, F, H, O</t>
        </is>
      </c>
      <c r="R72" s="5" t="inlineStr">
        <is>
          <t>none for ternaries: bracket r</t>
        </is>
      </c>
      <c r="S72" s="12">
        <f>IF(C72="A",'Run grid'!$B$4,IF(C72="B",'Run grid'!$B$6,'Run grid'!$B$8))</f>
        <v/>
      </c>
      <c r="T72" s="9">
        <f>S72*'Run grid'!$B$22</f>
        <v/>
      </c>
      <c r="U72" s="5" t="inlineStr">
        <is>
          <t>DME instead of isobutane</t>
        </is>
      </c>
      <c r="V72" s="5" t="inlineStr">
        <is>
          <t>Flammable; materials</t>
        </is>
      </c>
      <c r="W72" s="5" t="n"/>
    </row>
    <row r="73">
      <c r="A73" s="5" t="inlineStr">
        <is>
          <t>F08</t>
        </is>
      </c>
      <c r="B73" s="5" t="inlineStr">
        <is>
          <t>Ar:CO2:CF4</t>
        </is>
      </c>
      <c r="C73" s="6" t="inlineStr">
        <is>
          <t>C</t>
        </is>
      </c>
      <c r="D73" s="5" t="inlineStr">
        <is>
          <t>Ar:CO2:CF4 92:5:3</t>
        </is>
      </c>
      <c r="E73" s="7" t="inlineStr">
        <is>
          <t>co2</t>
        </is>
      </c>
      <c r="F73" s="8" t="n">
        <v>5</v>
      </c>
      <c r="G73" s="7" t="inlineStr">
        <is>
          <t>cf4</t>
        </is>
      </c>
      <c r="H73" s="8" t="n">
        <v>3</v>
      </c>
      <c r="I73" s="7" t="n"/>
      <c r="J73" s="8" t="n"/>
      <c r="K73" s="9">
        <f>100-F73-H73-J73</f>
        <v/>
      </c>
      <c r="L73" s="10">
        <f>(K73*INDEX(Components!$D$2:$D$17,MATCH("ar",Components!$A$2:$A$17,0))+IF(E73="",0,F73*INDEX(Components!$D$2:$D$17,MATCH(E73,Components!$A$2:$A$17,0)))+IF(G73="",0,H73*INDEX(Components!$D$2:$D$17,MATCH(G73,Components!$A$2:$A$17,0)))+IF(I73="",0,J73*INDEX(Components!$D$2:$D$17,MATCH(I73,Components!$A$2:$A$17,0))))/100</f>
        <v/>
      </c>
      <c r="M73" s="11">
        <f>K73*INDEX(Components!$D$2:$D$17,MATCH("ar",Components!$A$2:$A$17,0))/(K73*INDEX(Components!$D$2:$D$17,MATCH("ar",Components!$A$2:$A$17,0))+IF(E73="",0,F73*INDEX(Components!$D$2:$D$17,MATCH(E73,Components!$A$2:$A$17,0)))+IF(G73="",0,H73*INDEX(Components!$D$2:$D$17,MATCH(G73,Components!$A$2:$A$17,0)))+IF(I73="",0,J73*INDEX(Components!$D$2:$D$17,MATCH(I73,Components!$A$2:$A$17,0))))</f>
        <v/>
      </c>
      <c r="N73" s="10">
        <f>MIN(15.76,IF(E73="",99,INDEX(Components!$E$2:$E$17,MATCH(E73,Components!$A$2:$A$17,0))),IF(G73="",99,INDEX(Components!$E$2:$E$17,MATCH(G73,Components!$A$2:$A$17,0))),IF(I73="",99,INDEX(Components!$E$2:$E$17,MATCH(I73,Components!$A$2:$A$17,0))))</f>
        <v/>
      </c>
      <c r="O73" s="5">
        <f>IF(N73&lt;11.55,"4s, 4p and higher",IF(N73&lt;12.91,"4p and higher",IF(N73&lt;13.85,"3d/5s and higher",IF(N73&lt;15.76,"high Rydberg only","none"))))</f>
        <v/>
      </c>
      <c r="P73" s="9">
        <f>IF(E73="",0,IF(INDEX(Components!$F$2:$F$17,MATCH(E73,Components!$A$2:$A$17,0))&gt;0,F73,0))+IF(G73="",0,IF(INDEX(Components!$F$2:$F$17,MATCH(G73,Components!$A$2:$A$17,0))&gt;0,H73,0))+IF(I73="",0,IF(INDEX(Components!$F$2:$F$17,MATCH(I73,Components!$A$2:$A$17,0))&gt;0,J73,0))</f>
        <v/>
      </c>
      <c r="Q73" s="5" t="inlineStr">
        <is>
          <t>C, O, F</t>
        </is>
      </c>
      <c r="R73" s="5" t="inlineStr">
        <is>
          <t>none for ternaries: bracket r</t>
        </is>
      </c>
      <c r="S73" s="12">
        <f>IF(C73="A",'Run grid'!$B$4,IF(C73="B",'Run grid'!$B$6,'Run grid'!$B$8))</f>
        <v/>
      </c>
      <c r="T73" s="9">
        <f>S73*'Run grid'!$B$22</f>
        <v/>
      </c>
      <c r="U73" s="5" t="inlineStr">
        <is>
          <t>Non-flammable fast mixture</t>
        </is>
      </c>
      <c r="V73" s="5" t="inlineStr">
        <is>
          <t>Attachment</t>
        </is>
      </c>
      <c r="W73" s="5" t="n"/>
    </row>
    <row r="74">
      <c r="A74" s="5" t="inlineStr">
        <is>
          <t>Q01</t>
        </is>
      </c>
      <c r="B74" s="5" t="inlineStr">
        <is>
          <t>Ar:Ne:CH4:iC4H10</t>
        </is>
      </c>
      <c r="C74" s="6" t="inlineStr">
        <is>
          <t>C</t>
        </is>
      </c>
      <c r="D74" s="5" t="inlineStr">
        <is>
          <t>Ar:Ne:CH4:iC4H10 90:3:5:2</t>
        </is>
      </c>
      <c r="E74" s="7" t="inlineStr">
        <is>
          <t>ne</t>
        </is>
      </c>
      <c r="F74" s="8" t="n">
        <v>3</v>
      </c>
      <c r="G74" s="7" t="inlineStr">
        <is>
          <t>ch4</t>
        </is>
      </c>
      <c r="H74" s="8" t="n">
        <v>5</v>
      </c>
      <c r="I74" s="7" t="inlineStr">
        <is>
          <t>ic4h10</t>
        </is>
      </c>
      <c r="J74" s="8" t="n">
        <v>2</v>
      </c>
      <c r="K74" s="9">
        <f>100-F74-H74-J74</f>
        <v/>
      </c>
      <c r="L74" s="10">
        <f>(K74*INDEX(Components!$D$2:$D$17,MATCH("ar",Components!$A$2:$A$17,0))+IF(E74="",0,F74*INDEX(Components!$D$2:$D$17,MATCH(E74,Components!$A$2:$A$17,0)))+IF(G74="",0,H74*INDEX(Components!$D$2:$D$17,MATCH(G74,Components!$A$2:$A$17,0)))+IF(I74="",0,J74*INDEX(Components!$D$2:$D$17,MATCH(I74,Components!$A$2:$A$17,0))))/100</f>
        <v/>
      </c>
      <c r="M74" s="11">
        <f>K74*INDEX(Components!$D$2:$D$17,MATCH("ar",Components!$A$2:$A$17,0))/(K74*INDEX(Components!$D$2:$D$17,MATCH("ar",Components!$A$2:$A$17,0))+IF(E74="",0,F74*INDEX(Components!$D$2:$D$17,MATCH(E74,Components!$A$2:$A$17,0)))+IF(G74="",0,H74*INDEX(Components!$D$2:$D$17,MATCH(G74,Components!$A$2:$A$17,0)))+IF(I74="",0,J74*INDEX(Components!$D$2:$D$17,MATCH(I74,Components!$A$2:$A$17,0))))</f>
        <v/>
      </c>
      <c r="N74" s="10">
        <f>MIN(15.76,IF(E74="",99,INDEX(Components!$E$2:$E$17,MATCH(E74,Components!$A$2:$A$17,0))),IF(G74="",99,INDEX(Components!$E$2:$E$17,MATCH(G74,Components!$A$2:$A$17,0))),IF(I74="",99,INDEX(Components!$E$2:$E$17,MATCH(I74,Components!$A$2:$A$17,0))))</f>
        <v/>
      </c>
      <c r="O74" s="5">
        <f>IF(N74&lt;11.55,"4s, 4p and higher",IF(N74&lt;12.91,"4p and higher",IF(N74&lt;13.85,"3d/5s and higher",IF(N74&lt;15.76,"high Rydberg only","none"))))</f>
        <v/>
      </c>
      <c r="P74" s="9">
        <f>IF(E74="",0,IF(INDEX(Components!$F$2:$F$17,MATCH(E74,Components!$A$2:$A$17,0))&gt;0,F74,0))+IF(G74="",0,IF(INDEX(Components!$F$2:$F$17,MATCH(G74,Components!$A$2:$A$17,0))&gt;0,H74,0))+IF(I74="",0,IF(INDEX(Components!$F$2:$F$17,MATCH(I74,Components!$A$2:$A$17,0))&gt;0,J74,0))</f>
        <v/>
      </c>
      <c r="Q74" s="5" t="inlineStr">
        <is>
          <t>Ne, H, C</t>
        </is>
      </c>
      <c r="R74" s="5" t="inlineStr">
        <is>
          <t>none for ternaries: bracket r</t>
        </is>
      </c>
      <c r="S74" s="12">
        <f>IF(C74="A",'Run grid'!$B$4,IF(C74="B",'Run grid'!$B$6,'Run grid'!$B$8))</f>
        <v/>
      </c>
      <c r="T74" s="9">
        <f>S74*'Run grid'!$B$22</f>
        <v/>
      </c>
      <c r="U74" s="5" t="inlineStr">
        <is>
          <t>Ne + donor combined</t>
        </is>
      </c>
      <c r="V74" s="5" t="inlineStr">
        <is>
          <t>Flammable</t>
        </is>
      </c>
      <c r="W74" s="5" t="n"/>
    </row>
    <row r="75">
      <c r="A75" s="5" t="inlineStr">
        <is>
          <t>Q02</t>
        </is>
      </c>
      <c r="B75" s="5" t="inlineStr">
        <is>
          <t>Ar:CF4:CH4:iC4H10</t>
        </is>
      </c>
      <c r="C75" s="6" t="inlineStr">
        <is>
          <t>C</t>
        </is>
      </c>
      <c r="D75" s="5" t="inlineStr">
        <is>
          <t>Ar:CF4:CH4:iC4H10 90:3:5:2</t>
        </is>
      </c>
      <c r="E75" s="7" t="inlineStr">
        <is>
          <t>cf4</t>
        </is>
      </c>
      <c r="F75" s="8" t="n">
        <v>3</v>
      </c>
      <c r="G75" s="7" t="inlineStr">
        <is>
          <t>ch4</t>
        </is>
      </c>
      <c r="H75" s="8" t="n">
        <v>5</v>
      </c>
      <c r="I75" s="7" t="inlineStr">
        <is>
          <t>ic4h10</t>
        </is>
      </c>
      <c r="J75" s="8" t="n">
        <v>2</v>
      </c>
      <c r="K75" s="9">
        <f>100-F75-H75-J75</f>
        <v/>
      </c>
      <c r="L75" s="10">
        <f>(K75*INDEX(Components!$D$2:$D$17,MATCH("ar",Components!$A$2:$A$17,0))+IF(E75="",0,F75*INDEX(Components!$D$2:$D$17,MATCH(E75,Components!$A$2:$A$17,0)))+IF(G75="",0,H75*INDEX(Components!$D$2:$D$17,MATCH(G75,Components!$A$2:$A$17,0)))+IF(I75="",0,J75*INDEX(Components!$D$2:$D$17,MATCH(I75,Components!$A$2:$A$17,0))))/100</f>
        <v/>
      </c>
      <c r="M75" s="11">
        <f>K75*INDEX(Components!$D$2:$D$17,MATCH("ar",Components!$A$2:$A$17,0))/(K75*INDEX(Components!$D$2:$D$17,MATCH("ar",Components!$A$2:$A$17,0))+IF(E75="",0,F75*INDEX(Components!$D$2:$D$17,MATCH(E75,Components!$A$2:$A$17,0)))+IF(G75="",0,H75*INDEX(Components!$D$2:$D$17,MATCH(G75,Components!$A$2:$A$17,0)))+IF(I75="",0,J75*INDEX(Components!$D$2:$D$17,MATCH(I75,Components!$A$2:$A$17,0))))</f>
        <v/>
      </c>
      <c r="N75" s="10">
        <f>MIN(15.76,IF(E75="",99,INDEX(Components!$E$2:$E$17,MATCH(E75,Components!$A$2:$A$17,0))),IF(G75="",99,INDEX(Components!$E$2:$E$17,MATCH(G75,Components!$A$2:$A$17,0))),IF(I75="",99,INDEX(Components!$E$2:$E$17,MATCH(I75,Components!$A$2:$A$17,0))))</f>
        <v/>
      </c>
      <c r="O75" s="5">
        <f>IF(N75&lt;11.55,"4s, 4p and higher",IF(N75&lt;12.91,"4p and higher",IF(N75&lt;13.85,"3d/5s and higher",IF(N75&lt;15.76,"high Rydberg only","none"))))</f>
        <v/>
      </c>
      <c r="P75" s="9">
        <f>IF(E75="",0,IF(INDEX(Components!$F$2:$F$17,MATCH(E75,Components!$A$2:$A$17,0))&gt;0,F75,0))+IF(G75="",0,IF(INDEX(Components!$F$2:$F$17,MATCH(G75,Components!$A$2:$A$17,0))&gt;0,H75,0))+IF(I75="",0,IF(INDEX(Components!$F$2:$F$17,MATCH(I75,Components!$A$2:$A$17,0))&gt;0,J75,0))</f>
        <v/>
      </c>
      <c r="Q75" s="5" t="inlineStr">
        <is>
          <t>C, F, H</t>
        </is>
      </c>
      <c r="R75" s="5" t="inlineStr">
        <is>
          <t>none for ternaries: bracket r</t>
        </is>
      </c>
      <c r="S75" s="12">
        <f>IF(C75="A",'Run grid'!$B$4,IF(C75="B",'Run grid'!$B$6,'Run grid'!$B$8))</f>
        <v/>
      </c>
      <c r="T75" s="9">
        <f>S75*'Run grid'!$B$22</f>
        <v/>
      </c>
      <c r="U75" s="5" t="inlineStr">
        <is>
          <t>T2K gas with CH4</t>
        </is>
      </c>
      <c r="V75" s="5" t="inlineStr">
        <is>
          <t>Flammable</t>
        </is>
      </c>
      <c r="W75" s="5" t="n"/>
    </row>
    <row r="76">
      <c r="A76" s="5" t="inlineStr">
        <is>
          <t>Q03</t>
        </is>
      </c>
      <c r="B76" s="5" t="inlineStr">
        <is>
          <t>Ar:He:CF4:iC4H10</t>
        </is>
      </c>
      <c r="C76" s="6" t="inlineStr">
        <is>
          <t>C</t>
        </is>
      </c>
      <c r="D76" s="5" t="inlineStr">
        <is>
          <t>Ar:He:CF4:iC4H10 90:5:3:2</t>
        </is>
      </c>
      <c r="E76" s="7" t="inlineStr">
        <is>
          <t>he</t>
        </is>
      </c>
      <c r="F76" s="8" t="n">
        <v>5</v>
      </c>
      <c r="G76" s="7" t="inlineStr">
        <is>
          <t>cf4</t>
        </is>
      </c>
      <c r="H76" s="8" t="n">
        <v>3</v>
      </c>
      <c r="I76" s="7" t="inlineStr">
        <is>
          <t>ic4h10</t>
        </is>
      </c>
      <c r="J76" s="8" t="n">
        <v>2</v>
      </c>
      <c r="K76" s="9">
        <f>100-F76-H76-J76</f>
        <v/>
      </c>
      <c r="L76" s="10">
        <f>(K76*INDEX(Components!$D$2:$D$17,MATCH("ar",Components!$A$2:$A$17,0))+IF(E76="",0,F76*INDEX(Components!$D$2:$D$17,MATCH(E76,Components!$A$2:$A$17,0)))+IF(G76="",0,H76*INDEX(Components!$D$2:$D$17,MATCH(G76,Components!$A$2:$A$17,0)))+IF(I76="",0,J76*INDEX(Components!$D$2:$D$17,MATCH(I76,Components!$A$2:$A$17,0))))/100</f>
        <v/>
      </c>
      <c r="M76" s="11">
        <f>K76*INDEX(Components!$D$2:$D$17,MATCH("ar",Components!$A$2:$A$17,0))/(K76*INDEX(Components!$D$2:$D$17,MATCH("ar",Components!$A$2:$A$17,0))+IF(E76="",0,F76*INDEX(Components!$D$2:$D$17,MATCH(E76,Components!$A$2:$A$17,0)))+IF(G76="",0,H76*INDEX(Components!$D$2:$D$17,MATCH(G76,Components!$A$2:$A$17,0)))+IF(I76="",0,J76*INDEX(Components!$D$2:$D$17,MATCH(I76,Components!$A$2:$A$17,0))))</f>
        <v/>
      </c>
      <c r="N76" s="10">
        <f>MIN(15.76,IF(E76="",99,INDEX(Components!$E$2:$E$17,MATCH(E76,Components!$A$2:$A$17,0))),IF(G76="",99,INDEX(Components!$E$2:$E$17,MATCH(G76,Components!$A$2:$A$17,0))),IF(I76="",99,INDEX(Components!$E$2:$E$17,MATCH(I76,Components!$A$2:$A$17,0))))</f>
        <v/>
      </c>
      <c r="O76" s="5">
        <f>IF(N76&lt;11.55,"4s, 4p and higher",IF(N76&lt;12.91,"4p and higher",IF(N76&lt;13.85,"3d/5s and higher",IF(N76&lt;15.76,"high Rydberg only","none"))))</f>
        <v/>
      </c>
      <c r="P76" s="9">
        <f>IF(E76="",0,IF(INDEX(Components!$F$2:$F$17,MATCH(E76,Components!$A$2:$A$17,0))&gt;0,F76,0))+IF(G76="",0,IF(INDEX(Components!$F$2:$F$17,MATCH(G76,Components!$A$2:$A$17,0))&gt;0,H76,0))+IF(I76="",0,IF(INDEX(Components!$F$2:$F$17,MATCH(I76,Components!$A$2:$A$17,0))&gt;0,J76,0))</f>
        <v/>
      </c>
      <c r="Q76" s="5" t="inlineStr">
        <is>
          <t>He, C, F, H</t>
        </is>
      </c>
      <c r="R76" s="5" t="inlineStr">
        <is>
          <t>none for ternaries: bracket r</t>
        </is>
      </c>
      <c r="S76" s="12">
        <f>IF(C76="A",'Run grid'!$B$4,IF(C76="B",'Run grid'!$B$6,'Run grid'!$B$8))</f>
        <v/>
      </c>
      <c r="T76" s="9">
        <f>S76*'Run grid'!$B$22</f>
        <v/>
      </c>
      <c r="U76" s="5" t="inlineStr">
        <is>
          <t>T2K gas with He</t>
        </is>
      </c>
      <c r="V76" s="5" t="inlineStr">
        <is>
          <t>Flammable</t>
        </is>
      </c>
      <c r="W76" s="5" t="n"/>
    </row>
    <row r="78">
      <c r="A78" s="2" t="inlineStr">
        <is>
          <t>Count</t>
        </is>
      </c>
      <c r="D78" s="15">
        <f>COUNTIF(A2:A76,"?*")</f>
        <v/>
      </c>
    </row>
    <row r="79">
      <c r="A79" s="2" t="inlineStr">
        <is>
          <t>Priority A</t>
        </is>
      </c>
      <c r="D79" s="15">
        <f>COUNTIF(C2:C76,"A")</f>
        <v/>
      </c>
    </row>
    <row r="80">
      <c r="A80" s="2" t="inlineStr">
        <is>
          <t>CPU h, all tables</t>
        </is>
      </c>
      <c r="D80" s="15">
        <f>SUM(T2:T76)</f>
        <v/>
      </c>
    </row>
  </sheetData>
  <autoFilter ref="A1:W76"/>
  <dataValidations count="1">
    <dataValidation sqref="C2:C76" showDropDown="0" showInputMessage="0" showErrorMessage="0" allowBlank="0" type="list">
      <formula1>"A,B,C"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60" customWidth="1" min="3" max="3"/>
  </cols>
  <sheetData>
    <row r="1">
      <c r="A1" s="1" t="inlineStr">
        <is>
          <t>Detector requirements (from the user, 2026-10-28) and derived targets</t>
        </is>
      </c>
    </row>
    <row r="3">
      <c r="A3" s="16" t="inlineStr">
        <is>
          <t>Maximum drift length, double-sided TPC (cm)</t>
        </is>
      </c>
      <c r="B3" s="17" t="n">
        <v>250</v>
      </c>
    </row>
    <row r="4">
      <c r="A4" s="16" t="inlineStr">
        <is>
          <t>Maximum drift length, single-sided TPC (cm)</t>
        </is>
      </c>
      <c r="B4" s="17" t="n">
        <v>500</v>
      </c>
    </row>
    <row r="5">
      <c r="A5" s="16" t="inlineStr">
        <is>
          <t>Nominal drift field (kV/cm)</t>
        </is>
      </c>
      <c r="B5" s="18" t="n">
        <v>0.5</v>
      </c>
    </row>
    <row r="6">
      <c r="A6" s="16" t="inlineStr">
        <is>
          <t>Operating pressure (bar)</t>
        </is>
      </c>
      <c r="B6" s="17" t="n">
        <v>10</v>
      </c>
    </row>
    <row r="7">
      <c r="A7" s="16" t="inlineStr">
        <is>
          <t>Nominal drift E/p (V/cm/bar)</t>
        </is>
      </c>
      <c r="B7" s="19">
        <f>B5*1000/B6</f>
        <v/>
      </c>
      <c r="C7" s="16" t="inlineStr">
        <is>
          <t>Lower pressures: evaluate at the same E/p and at 0.5 kV/cm</t>
        </is>
      </c>
    </row>
    <row r="8">
      <c r="A8" s="16" t="inlineStr">
        <is>
          <t>Target effective gain of the stack</t>
        </is>
      </c>
      <c r="B8" s="20" t="n">
        <v>100</v>
      </c>
      <c r="C8" s="16" t="inlineStr">
        <is>
          <t>'At least O(100)'; revisit</t>
        </is>
      </c>
    </row>
    <row r="9">
      <c r="A9" s="16" t="inlineStr">
        <is>
          <t>Effective/absolute gain per foil (assumed)</t>
        </is>
      </c>
      <c r="B9" s="21" t="n">
        <v>0.4</v>
      </c>
      <c r="C9" s="16" t="inlineStr">
        <is>
          <t>SimGEM single standard GEM: 0.3-0.45</t>
        </is>
      </c>
    </row>
    <row r="10">
      <c r="A10" s="16" t="inlineStr">
        <is>
          <t>Per-foil effective gain, triple GEM</t>
        </is>
      </c>
      <c r="B10" s="15">
        <f>B8^(1/3)</f>
        <v/>
      </c>
    </row>
    <row r="11">
      <c r="A11" s="16" t="inlineStr">
        <is>
          <t>Per-foil effective gain, double GEM</t>
        </is>
      </c>
      <c r="B11" s="15">
        <f>B8^(1/2)</f>
        <v/>
      </c>
    </row>
    <row r="12">
      <c r="A12" s="16" t="inlineStr">
        <is>
          <t>Per-foil effective gain, single GEM</t>
        </is>
      </c>
      <c r="B12" s="19">
        <f>B8</f>
        <v/>
      </c>
    </row>
    <row r="13">
      <c r="A13" s="16" t="inlineStr">
        <is>
          <t>Per-foil absolute gain, triple GEM</t>
        </is>
      </c>
      <c r="B13" s="19">
        <f>B10/B9</f>
        <v/>
      </c>
      <c r="C13" s="16" t="inlineStr">
        <is>
          <t>Target of the 1-D gain estimate</t>
        </is>
      </c>
    </row>
    <row r="14">
      <c r="A14" s="16" t="inlineStr">
        <is>
          <t>Per-foil absolute gain, double GEM</t>
        </is>
      </c>
      <c r="B14" s="19">
        <f>B11/B9</f>
        <v/>
      </c>
      <c r="C14" s="16" t="inlineStr">
        <is>
          <t>Target of the 1-D gain estimate</t>
        </is>
      </c>
    </row>
    <row r="15">
      <c r="A15" s="16" t="inlineStr">
        <is>
          <t>Per-foil absolute gain, single GEM</t>
        </is>
      </c>
      <c r="B15" s="19">
        <f>B12/B9</f>
        <v/>
      </c>
      <c r="C15" s="16" t="inlineStr">
        <is>
          <t>Target of the 1-D gain estimate</t>
        </is>
      </c>
    </row>
    <row r="16">
      <c r="A16" s="16" t="inlineStr">
        <is>
          <t>Diffusion scale sqrt(L), double-sided (sqrt(cm))</t>
        </is>
      </c>
      <c r="B16" s="15">
        <f>SQRT(B3)</f>
        <v/>
      </c>
      <c r="C16" s="16" t="inlineStr">
        <is>
          <t>sigma = D x sqrt(L), D in um/sqrt(cm)</t>
        </is>
      </c>
    </row>
    <row r="17">
      <c r="A17" s="16" t="inlineStr">
        <is>
          <t>Diffusion scale sqrt(L), single-sided (sqrt(cm))</t>
        </is>
      </c>
      <c r="B17" s="15">
        <f>SQRT(B4)</f>
        <v/>
      </c>
    </row>
    <row r="18">
      <c r="A18" s="16" t="inlineStr">
        <is>
          <t>Accepted charge loss over L</t>
        </is>
      </c>
      <c r="B18" s="22" t="n">
        <v>0.1</v>
      </c>
      <c r="C18" s="16" t="inlineStr">
        <is>
          <t>Sets the impurity limit (O2, H2O levels unknown)</t>
        </is>
      </c>
    </row>
    <row r="19">
      <c r="A19" s="16" t="inlineStr">
        <is>
          <t>Additives allowed for the study</t>
        </is>
      </c>
      <c r="B19" s="23" t="inlineStr">
        <is>
          <t>all (flammable, toxic, hazardous)</t>
        </is>
      </c>
      <c r="C19" s="16" t="inlineStr">
        <is>
          <t>Assumed for the study; safety decided later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12" customWidth="1" min="4" max="4"/>
    <col width="13" customWidth="1" min="5" max="5"/>
    <col width="12" customWidth="1" min="6" max="6"/>
    <col width="10" customWidth="1" min="7" max="7"/>
    <col width="34" customWidth="1" min="8" max="8"/>
    <col width="34" customWidth="1" min="9" max="9"/>
    <col width="44" customWidth="1" min="10" max="10"/>
  </cols>
  <sheetData>
    <row r="1">
      <c r="A1" s="4" t="inlineStr">
        <is>
          <t>Key</t>
        </is>
      </c>
      <c r="B1" s="4" t="inlineStr">
        <is>
          <t>Garfield name</t>
        </is>
      </c>
      <c r="C1" s="4" t="inlineStr">
        <is>
          <t>Formula</t>
        </is>
      </c>
      <c r="D1" s="4" t="inlineStr">
        <is>
          <t>Molar mass (g/mol)</t>
        </is>
      </c>
      <c r="E1" s="4" t="inlineStr">
        <is>
          <t>Ionisation energy (eV)</t>
        </is>
      </c>
      <c r="F1" s="4" t="inlineStr">
        <is>
          <t>LEL in air (vol %)</t>
        </is>
      </c>
      <c r="G1" s="4" t="inlineStr">
        <is>
          <t>Nuclei</t>
        </is>
      </c>
      <c r="H1" s="4" t="inlineStr">
        <is>
          <t>Garfield automatic Penning with Ar</t>
        </is>
      </c>
      <c r="I1" s="4" t="inlineStr">
        <is>
          <t>Role</t>
        </is>
      </c>
      <c r="J1" s="4" t="inlineStr">
        <is>
          <t>Hazards / remarks</t>
        </is>
      </c>
    </row>
    <row r="2">
      <c r="A2" s="5" t="inlineStr">
        <is>
          <t>ar</t>
        </is>
      </c>
      <c r="B2" s="5" t="inlineStr">
        <is>
          <t>Ar</t>
        </is>
      </c>
      <c r="C2" s="5" t="inlineStr">
        <is>
          <t>Ar</t>
        </is>
      </c>
      <c r="D2" s="24" t="n">
        <v>39.948</v>
      </c>
      <c r="E2" s="25" t="n">
        <v>15.76</v>
      </c>
      <c r="F2" s="8" t="n">
        <v>0</v>
      </c>
      <c r="G2" s="5" t="inlineStr">
        <is>
          <t>Ar</t>
        </is>
      </c>
      <c r="H2" s="5" t="inlineStr">
        <is>
          <t>-</t>
        </is>
      </c>
      <c r="I2" s="5" t="inlineStr">
        <is>
          <t>target, main gas</t>
        </is>
      </c>
      <c r="J2" s="5" t="inlineStr"/>
    </row>
    <row r="3">
      <c r="A3" s="5" t="inlineStr">
        <is>
          <t>he</t>
        </is>
      </c>
      <c r="B3" s="5" t="inlineStr">
        <is>
          <t>He</t>
        </is>
      </c>
      <c r="C3" s="5" t="inlineStr">
        <is>
          <t>He</t>
        </is>
      </c>
      <c r="D3" s="24" t="n">
        <v>4.0026</v>
      </c>
      <c r="E3" s="25" t="n">
        <v>24.59</v>
      </c>
      <c r="F3" s="8" t="n">
        <v>0</v>
      </c>
      <c r="G3" s="5" t="inlineStr">
        <is>
          <t>He</t>
        </is>
      </c>
      <c r="H3" s="5" t="inlineStr">
        <is>
          <t>none</t>
        </is>
      </c>
      <c r="I3" s="5" t="inlineStr">
        <is>
          <t>diluent</t>
        </is>
      </c>
      <c r="J3" s="5" t="inlineStr">
        <is>
          <t>fast leaks through seals</t>
        </is>
      </c>
    </row>
    <row r="4">
      <c r="A4" s="5" t="inlineStr">
        <is>
          <t>ne</t>
        </is>
      </c>
      <c r="B4" s="5" t="inlineStr">
        <is>
          <t>Ne</t>
        </is>
      </c>
      <c r="C4" s="5" t="inlineStr">
        <is>
          <t>Ne</t>
        </is>
      </c>
      <c r="D4" s="24" t="n">
        <v>20.18</v>
      </c>
      <c r="E4" s="25" t="n">
        <v>21.56</v>
      </c>
      <c r="F4" s="8" t="n">
        <v>0</v>
      </c>
      <c r="G4" s="5" t="inlineStr">
        <is>
          <t>Ne</t>
        </is>
      </c>
      <c r="H4" s="5" t="inlineStr">
        <is>
          <t>none (Ne-CO2, Ne-N2 exist)</t>
        </is>
      </c>
      <c r="I4" s="5" t="inlineStr">
        <is>
          <t>diluent</t>
        </is>
      </c>
      <c r="J4" s="5" t="inlineStr">
        <is>
          <t>cost at 10 bar volumes</t>
        </is>
      </c>
    </row>
    <row r="5">
      <c r="A5" s="5" t="inlineStr">
        <is>
          <t>ch4</t>
        </is>
      </c>
      <c r="B5" s="5" t="inlineStr">
        <is>
          <t>CH4</t>
        </is>
      </c>
      <c r="C5" s="5" t="inlineStr">
        <is>
          <t>CH4</t>
        </is>
      </c>
      <c r="D5" s="24" t="n">
        <v>16.043</v>
      </c>
      <c r="E5" s="25" t="n">
        <v>12.61</v>
      </c>
      <c r="F5" s="8" t="n">
        <v>4.4</v>
      </c>
      <c r="G5" s="5" t="inlineStr">
        <is>
          <t>H, C</t>
        </is>
      </c>
      <c r="H5" s="5" t="inlineStr">
        <is>
          <t>p- and c-dependent (Sahin 2010)</t>
        </is>
      </c>
      <c r="I5" s="5" t="inlineStr">
        <is>
          <t>quencher, Penning acceptor (Ar 4p and up)</t>
        </is>
      </c>
      <c r="J5" s="5" t="inlineStr">
        <is>
          <t>flammable</t>
        </is>
      </c>
    </row>
    <row r="6">
      <c r="A6" s="5" t="inlineStr">
        <is>
          <t>co2</t>
        </is>
      </c>
      <c r="B6" s="5" t="inlineStr">
        <is>
          <t>CO2</t>
        </is>
      </c>
      <c r="C6" s="5" t="inlineStr">
        <is>
          <t>CO2</t>
        </is>
      </c>
      <c r="D6" s="24" t="n">
        <v>44.01</v>
      </c>
      <c r="E6" s="25" t="n">
        <v>13.78</v>
      </c>
      <c r="F6" s="8" t="n">
        <v>0</v>
      </c>
      <c r="G6" s="5" t="inlineStr">
        <is>
          <t>C, O</t>
        </is>
      </c>
      <c r="H6" s="5" t="inlineStr">
        <is>
          <t>1 atm: Sahin 2014; other p: JINST 12 C01035</t>
        </is>
      </c>
      <c r="I6" s="5" t="inlineStr">
        <is>
          <t>quencher (cold gas, low diffusion)</t>
        </is>
      </c>
      <c r="J6" s="5" t="inlineStr">
        <is>
          <t>three-body attachment with O2</t>
        </is>
      </c>
    </row>
    <row r="7">
      <c r="A7" s="5" t="inlineStr">
        <is>
          <t>cf4</t>
        </is>
      </c>
      <c r="B7" s="5" t="inlineStr">
        <is>
          <t>CF4</t>
        </is>
      </c>
      <c r="C7" s="5" t="inlineStr">
        <is>
          <t>CF4</t>
        </is>
      </c>
      <c r="D7" s="24" t="n">
        <v>88.004</v>
      </c>
      <c r="E7" s="25" t="n">
        <v>16.2</v>
      </c>
      <c r="F7" s="8" t="n">
        <v>0</v>
      </c>
      <c r="G7" s="5" t="inlineStr">
        <is>
          <t>C, F</t>
        </is>
      </c>
      <c r="H7" s="5" t="inlineStr">
        <is>
          <t>none</t>
        </is>
      </c>
      <c r="I7" s="5" t="inlineStr">
        <is>
          <t>fast drift, low diffusion</t>
        </is>
      </c>
      <c r="J7" s="5" t="inlineStr">
        <is>
          <t>attachment at hole fields; GWP ~6500; IP: vertical 16.2 eV</t>
        </is>
      </c>
    </row>
    <row r="8">
      <c r="A8" s="5" t="inlineStr">
        <is>
          <t>c2h6</t>
        </is>
      </c>
      <c r="B8" s="5" t="inlineStr">
        <is>
          <t>C2H6</t>
        </is>
      </c>
      <c r="C8" s="5" t="inlineStr">
        <is>
          <t>C2H6</t>
        </is>
      </c>
      <c r="D8" s="24" t="n">
        <v>30.069</v>
      </c>
      <c r="E8" s="25" t="n">
        <v>11.52</v>
      </c>
      <c r="F8" s="8" t="n">
        <v>2.4</v>
      </c>
      <c r="G8" s="5" t="inlineStr">
        <is>
          <t>H, C</t>
        </is>
      </c>
      <c r="H8" s="5" t="inlineStr">
        <is>
          <t>0.31 (10 %, 1 atm only)</t>
        </is>
      </c>
      <c r="I8" s="5" t="inlineStr">
        <is>
          <t>quencher, Penning donor (marginal for Ar 4s)</t>
        </is>
      </c>
      <c r="J8" s="5" t="inlineStr">
        <is>
          <t>flammable</t>
        </is>
      </c>
    </row>
    <row r="9">
      <c r="A9" s="5" t="inlineStr">
        <is>
          <t>c3h8</t>
        </is>
      </c>
      <c r="B9" s="5" t="inlineStr">
        <is>
          <t>C3H8</t>
        </is>
      </c>
      <c r="C9" s="5" t="inlineStr">
        <is>
          <t>C3H8</t>
        </is>
      </c>
      <c r="D9" s="24" t="n">
        <v>44.097</v>
      </c>
      <c r="E9" s="25" t="n">
        <v>10.94</v>
      </c>
      <c r="F9" s="8" t="n">
        <v>1.7</v>
      </c>
      <c r="G9" s="5" t="inlineStr">
        <is>
          <t>H, C</t>
        </is>
      </c>
      <c r="H9" s="5" t="inlineStr">
        <is>
          <t>c-dependent (1 atm only)</t>
        </is>
      </c>
      <c r="I9" s="5" t="inlineStr">
        <is>
          <t>quencher, Penning donor</t>
        </is>
      </c>
      <c r="J9" s="5" t="inlineStr">
        <is>
          <t>flammable</t>
        </is>
      </c>
    </row>
    <row r="10">
      <c r="A10" s="5" t="inlineStr">
        <is>
          <t>ic4h10</t>
        </is>
      </c>
      <c r="B10" s="5" t="inlineStr">
        <is>
          <t>iC4H10</t>
        </is>
      </c>
      <c r="C10" s="5" t="inlineStr">
        <is>
          <t>iC4H10</t>
        </is>
      </c>
      <c r="D10" s="24" t="n">
        <v>58.122</v>
      </c>
      <c r="E10" s="25" t="n">
        <v>10.68</v>
      </c>
      <c r="F10" s="8" t="n">
        <v>1.3</v>
      </c>
      <c r="G10" s="5" t="inlineStr">
        <is>
          <t>H, C</t>
        </is>
      </c>
      <c r="H10" s="5" t="inlineStr">
        <is>
          <t>0.40 (10 %, 1 atm only)</t>
        </is>
      </c>
      <c r="I10" s="5" t="inlineStr">
        <is>
          <t>quencher, Penning donor, UV absorber</t>
        </is>
      </c>
      <c r="J10" s="5" t="inlineStr">
        <is>
          <t>flammable; condenses at ~2-3 bar partial pressure at room T</t>
        </is>
      </c>
    </row>
    <row r="11">
      <c r="A11" s="5" t="inlineStr">
        <is>
          <t>dme</t>
        </is>
      </c>
      <c r="B11" s="5" t="inlineStr">
        <is>
          <t>DME</t>
        </is>
      </c>
      <c r="C11" s="5" t="inlineStr">
        <is>
          <t>C2H6O</t>
        </is>
      </c>
      <c r="D11" s="24" t="n">
        <v>46.068</v>
      </c>
      <c r="E11" s="25" t="n">
        <v>10.03</v>
      </c>
      <c r="F11" s="8" t="n">
        <v>2.7</v>
      </c>
      <c r="G11" s="5" t="inlineStr">
        <is>
          <t>H, C, O</t>
        </is>
      </c>
      <c r="H11" s="5" t="inlineStr">
        <is>
          <t>none</t>
        </is>
      </c>
      <c r="I11" s="5" t="inlineStr">
        <is>
          <t>quencher, Penning donor, no attachment</t>
        </is>
      </c>
      <c r="J11" s="5" t="inlineStr">
        <is>
          <t>flammable; attacks some plastics</t>
        </is>
      </c>
    </row>
    <row r="12">
      <c r="A12" s="5" t="inlineStr">
        <is>
          <t>tma</t>
        </is>
      </c>
      <c r="B12" s="5" t="inlineStr">
        <is>
          <t>TMA</t>
        </is>
      </c>
      <c r="C12" s="5" t="inlineStr">
        <is>
          <t>C3H9N</t>
        </is>
      </c>
      <c r="D12" s="24" t="n">
        <v>59.11</v>
      </c>
      <c r="E12" s="25" t="n">
        <v>7.85</v>
      </c>
      <c r="F12" s="8" t="n">
        <v>2</v>
      </c>
      <c r="G12" s="5" t="inlineStr">
        <is>
          <t>H, C, N</t>
        </is>
      </c>
      <c r="H12" s="5" t="inlineStr">
        <is>
          <t>none (Xe-TMA only)</t>
        </is>
      </c>
      <c r="I12" s="5" t="inlineStr">
        <is>
          <t>strong Penning donor, UV absorber</t>
        </is>
      </c>
      <c r="J12" s="5" t="inlineStr">
        <is>
          <t>flammable, toxic, reactive</t>
        </is>
      </c>
    </row>
    <row r="13">
      <c r="A13" s="5" t="inlineStr">
        <is>
          <t>c2h2</t>
        </is>
      </c>
      <c r="B13" s="5" t="inlineStr">
        <is>
          <t>C2H2</t>
        </is>
      </c>
      <c r="C13" s="5" t="inlineStr">
        <is>
          <t>C2H2</t>
        </is>
      </c>
      <c r="D13" s="24" t="n">
        <v>26.038</v>
      </c>
      <c r="E13" s="25" t="n">
        <v>11.4</v>
      </c>
      <c r="F13" s="8" t="n">
        <v>2.3</v>
      </c>
      <c r="G13" s="5" t="inlineStr">
        <is>
          <t>H, C</t>
        </is>
      </c>
      <c r="H13" s="5" t="inlineStr">
        <is>
          <t>0.72 (cylindrical counters)</t>
        </is>
      </c>
      <c r="I13" s="5" t="inlineStr">
        <is>
          <t>Penning donor</t>
        </is>
      </c>
      <c r="J13" s="5" t="inlineStr">
        <is>
          <t>decomposes explosively above ~1-2 bar partial pressure</t>
        </is>
      </c>
    </row>
    <row r="14">
      <c r="A14" s="5" t="inlineStr">
        <is>
          <t>n2</t>
        </is>
      </c>
      <c r="B14" s="5" t="inlineStr">
        <is>
          <t>N2</t>
        </is>
      </c>
      <c r="C14" s="5" t="inlineStr">
        <is>
          <t>N2</t>
        </is>
      </c>
      <c r="D14" s="24" t="n">
        <v>28.014</v>
      </c>
      <c r="E14" s="25" t="n">
        <v>15.58</v>
      </c>
      <c r="F14" s="8" t="n">
        <v>0</v>
      </c>
      <c r="G14" s="5" t="inlineStr">
        <is>
          <t>N</t>
        </is>
      </c>
      <c r="H14" s="5" t="inlineStr">
        <is>
          <t>none</t>
        </is>
      </c>
      <c r="I14" s="5" t="inlineStr">
        <is>
          <t>reference (no Penning, poor quencher)</t>
        </is>
      </c>
      <c r="J14" s="5" t="inlineStr"/>
    </row>
    <row r="15">
      <c r="A15" s="5" t="inlineStr">
        <is>
          <t>h2</t>
        </is>
      </c>
      <c r="B15" s="5" t="inlineStr">
        <is>
          <t>H2</t>
        </is>
      </c>
      <c r="C15" s="5" t="inlineStr">
        <is>
          <t>H2</t>
        </is>
      </c>
      <c r="D15" s="24" t="n">
        <v>2.016</v>
      </c>
      <c r="E15" s="25" t="n">
        <v>15.43</v>
      </c>
      <c r="F15" s="8" t="n">
        <v>4</v>
      </c>
      <c r="G15" s="5" t="inlineStr">
        <is>
          <t>H</t>
        </is>
      </c>
      <c r="H15" s="5" t="inlineStr">
        <is>
          <t>none</t>
        </is>
      </c>
      <c r="I15" s="5" t="inlineStr">
        <is>
          <t>free-proton target, poor quencher</t>
        </is>
      </c>
      <c r="J15" s="5" t="inlineStr">
        <is>
          <t>flammable</t>
        </is>
      </c>
    </row>
    <row r="16">
      <c r="A16" s="5" t="inlineStr">
        <is>
          <t>o2</t>
        </is>
      </c>
      <c r="B16" s="5" t="inlineStr">
        <is>
          <t>O2</t>
        </is>
      </c>
      <c r="C16" s="5" t="inlineStr">
        <is>
          <t>O2</t>
        </is>
      </c>
      <c r="D16" s="24" t="n">
        <v>31.999</v>
      </c>
      <c r="E16" s="25" t="n">
        <v>12.07</v>
      </c>
      <c r="F16" s="8" t="n">
        <v>0</v>
      </c>
      <c r="G16" s="5" t="inlineStr">
        <is>
          <t>O</t>
        </is>
      </c>
      <c r="H16" s="5" t="inlineStr">
        <is>
          <t>-</t>
        </is>
      </c>
      <c r="I16" s="5" t="inlineStr">
        <is>
          <t>impurity (attachment)</t>
        </is>
      </c>
      <c r="J16" s="5" t="inlineStr"/>
    </row>
    <row r="17">
      <c r="A17" s="5" t="inlineStr">
        <is>
          <t>h2o</t>
        </is>
      </c>
      <c r="B17" s="5" t="inlineStr">
        <is>
          <t>H2O</t>
        </is>
      </c>
      <c r="C17" s="5" t="inlineStr">
        <is>
          <t>H2O</t>
        </is>
      </c>
      <c r="D17" s="24" t="n">
        <v>18.015</v>
      </c>
      <c r="E17" s="25" t="n">
        <v>12.62</v>
      </c>
      <c r="F17" s="8" t="n">
        <v>0</v>
      </c>
      <c r="G17" s="5" t="inlineStr">
        <is>
          <t>H, O</t>
        </is>
      </c>
      <c r="H17" s="5" t="inlineStr">
        <is>
          <t>-</t>
        </is>
      </c>
      <c r="I17" s="5" t="inlineStr">
        <is>
          <t>impurity (attachment, cooling)</t>
        </is>
      </c>
      <c r="J17" s="5" t="inlineStr"/>
    </row>
    <row r="19">
      <c r="A19" s="16" t="inlineStr">
        <is>
          <t>Sources: molar masses IUPAC; ionisation energies NIST Chemistry WebBook (adiabatic; CF4 vertical value).</t>
        </is>
      </c>
    </row>
    <row r="20">
      <c r="A20" s="16" t="inlineStr">
        <is>
          <t>LEL: typical values of IEC 60079-20-1 (0 = not flammable); approximate, check the supplier SDS. Mixture flammability needs an ISO 10156 assessment.</t>
        </is>
      </c>
    </row>
    <row r="21">
      <c r="A21" s="16" t="inlineStr">
        <is>
          <t>Ar excited levels: 4s 11.55-11.83 eV (most abundant), 4p 12.91-13.48 eV, 3d/5s ~13.85-14.3 eV. Garfield transfers only from levels above the lowest ionisation energy of the mixture.</t>
        </is>
      </c>
    </row>
    <row r="22">
      <c r="A22" s="16" t="inlineStr">
        <is>
          <t>Garfield automatic Penning: MediumGas::EnablePenningTransfer() (Garfield++ 58d22389), Sahin et al. JINST 5 (2010) P05002, NIM A 768 (2014) 104, JINST 12 (2017) C01035.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8" customWidth="1" min="1" max="1"/>
    <col width="34" customWidth="1" min="2" max="2"/>
    <col width="70" customWidth="1" min="3" max="3"/>
  </cols>
  <sheetData>
    <row r="1">
      <c r="A1" s="1" t="inlineStr">
        <is>
          <t>Run grid and compute budget</t>
        </is>
      </c>
    </row>
    <row r="3">
      <c r="A3" s="16" t="inlineStr">
        <is>
          <t>Pressures, priority A (bar)</t>
        </is>
      </c>
      <c r="B3" s="23" t="inlineStr">
        <is>
          <t>1, 2, 4, 6, 8, 10</t>
        </is>
      </c>
    </row>
    <row r="4">
      <c r="A4" s="16" t="inlineStr">
        <is>
          <t>Number of pressures, priority A</t>
        </is>
      </c>
      <c r="B4" s="23" t="n">
        <v>6</v>
      </c>
    </row>
    <row r="5">
      <c r="A5" s="16" t="inlineStr">
        <is>
          <t>Pressures, priority B (bar)</t>
        </is>
      </c>
      <c r="B5" s="23" t="inlineStr">
        <is>
          <t>1, 4, 10</t>
        </is>
      </c>
    </row>
    <row r="6">
      <c r="A6" s="16" t="inlineStr">
        <is>
          <t>Number of pressures, priority B</t>
        </is>
      </c>
      <c r="B6" s="23" t="n">
        <v>3</v>
      </c>
    </row>
    <row r="7">
      <c r="A7" s="16" t="inlineStr">
        <is>
          <t>Pressures, priority C (bar)</t>
        </is>
      </c>
      <c r="B7" s="23" t="inlineStr">
        <is>
          <t>1, 10</t>
        </is>
      </c>
    </row>
    <row r="8">
      <c r="A8" s="16" t="inlineStr">
        <is>
          <t>Number of pressures, priority C</t>
        </is>
      </c>
      <c r="B8" s="23" t="n">
        <v>2</v>
      </c>
    </row>
    <row r="9">
      <c r="A9" s="16" t="inlineStr">
        <is>
          <t>Drift table: E/p range (V/cm/bar)</t>
        </is>
      </c>
      <c r="B9" s="23" t="inlineStr">
        <is>
          <t>5 - 500</t>
        </is>
      </c>
      <c r="C9" s="16" t="inlineStr">
        <is>
          <t>At 10 bar: 50 V/cm - 5 kV/cm</t>
        </is>
      </c>
    </row>
    <row r="10">
      <c r="A10" s="16" t="inlineStr">
        <is>
          <t>Drift table: field points (log)</t>
        </is>
      </c>
      <c r="B10" s="23" t="n">
        <v>12</v>
      </c>
    </row>
    <row r="11">
      <c r="A11" s="16" t="inlineStr">
        <is>
          <t>Avalanche table: E/p range (kV/cm/bar)</t>
        </is>
      </c>
      <c r="B11" s="23" t="inlineStr">
        <is>
          <t>5 - 200</t>
        </is>
      </c>
      <c r="C11" s="16" t="inlineStr">
        <is>
          <t>GEM holes: ~100 kV/cm at 1 bar, ~300-600 kV/cm at 10 bar</t>
        </is>
      </c>
    </row>
    <row r="12">
      <c r="A12" s="16" t="inlineStr">
        <is>
          <t>Avalanche table: field points (log)</t>
        </is>
      </c>
      <c r="B12" s="23" t="n">
        <v>15</v>
      </c>
    </row>
    <row r="13">
      <c r="A13" s="16" t="inlineStr">
        <is>
          <t>Magboltz collisions (x 1e7)</t>
        </is>
      </c>
      <c r="B13" s="23" t="n">
        <v>5</v>
      </c>
    </row>
    <row r="14">
      <c r="A14" s="16" t="inlineStr">
        <is>
          <t>CPU s per drift point</t>
        </is>
      </c>
      <c r="B14" s="26" t="n">
        <v>60</v>
      </c>
      <c r="C14" s="16" t="inlineStr">
        <is>
          <t>Measured 2026-10-28: Ar:CH4 90:10 and Ar:CO2 95:5 at 10 bar, 1 core</t>
        </is>
      </c>
    </row>
    <row r="15">
      <c r="A15" s="16" t="inlineStr">
        <is>
          <t>CPU s per avalanche point</t>
        </is>
      </c>
      <c r="B15" s="26" t="n">
        <v>120</v>
      </c>
      <c r="C15" s="16" t="inlineStr">
        <is>
          <t>Measured 2026-10-28: Ar:CH4 90:10 at 10 bar, 100 kV/cm - 1 MV/cm</t>
        </is>
      </c>
    </row>
    <row r="16">
      <c r="A16" s="16" t="inlineStr">
        <is>
          <t>Penning r grid (post-hoc, from one table)</t>
        </is>
      </c>
      <c r="B16" s="23" t="inlineStr">
        <is>
          <t>0, 0.1, 0.2, 0.3, 0.4, 0.5, 0.6, 0.8, auto</t>
        </is>
      </c>
      <c r="C16" s="16" t="inlineStr">
        <is>
          <t>Free: rescales alpha from stored excitation rates</t>
        </is>
      </c>
    </row>
    <row r="17">
      <c r="A17" s="16" t="inlineStr">
        <is>
          <t>Penning matching (r_micro): CPU min per run</t>
        </is>
      </c>
      <c r="B17" s="23" t="n">
        <v>15</v>
      </c>
      <c r="C17" s="16" t="inlineStr">
        <is>
          <t>simgem_penning: 4-25 min depending on gas</t>
        </is>
      </c>
    </row>
    <row r="18">
      <c r="A18" s="16" t="inlineStr">
        <is>
          <t>Penning matching: pressures per priority-A mixture</t>
        </is>
      </c>
      <c r="B18" s="23" t="n">
        <v>2</v>
      </c>
      <c r="C18" s="16" t="inlineStr">
        <is>
          <t>1 and 10 bar</t>
        </is>
      </c>
    </row>
    <row r="19">
      <c r="A19" s="16" t="inlineStr">
        <is>
          <t>Cores</t>
        </is>
      </c>
      <c r="B19" s="23" t="n">
        <v>4</v>
      </c>
      <c r="C19" s="16" t="inlineStr">
        <is>
          <t>CPU cap: at most 6 heavy processes</t>
        </is>
      </c>
    </row>
    <row r="21">
      <c r="A21" s="2" t="inlineStr">
        <is>
          <t>Budget</t>
        </is>
      </c>
    </row>
    <row r="22">
      <c r="A22" s="16" t="inlineStr">
        <is>
          <t>CPU h per mixture and pressure</t>
        </is>
      </c>
      <c r="B22" s="27">
        <f>('Run grid'!$B$10*'Run grid'!$B$14+'Run grid'!$B$12*'Run grid'!$B$15)/3600</f>
        <v/>
      </c>
    </row>
    <row r="23">
      <c r="A23" s="16" t="inlineStr">
        <is>
          <t>Priority A mixtures</t>
        </is>
      </c>
      <c r="B23" s="19">
        <f>COUNTIF(Mixtures!$C:$C,"A")</f>
        <v/>
      </c>
    </row>
    <row r="24">
      <c r="A24" s="16" t="inlineStr">
        <is>
          <t>Priority B mixtures</t>
        </is>
      </c>
      <c r="B24" s="19">
        <f>COUNTIF(Mixtures!$C:$C,"B")</f>
        <v/>
      </c>
    </row>
    <row r="25">
      <c r="A25" s="16" t="inlineStr">
        <is>
          <t>Priority C mixtures</t>
        </is>
      </c>
      <c r="B25" s="19">
        <f>COUNTIF(Mixtures!$C:$C,"C")</f>
        <v/>
      </c>
    </row>
    <row r="26">
      <c r="A26" s="16" t="inlineStr">
        <is>
          <t>Tables (mixture x pressure)</t>
        </is>
      </c>
      <c r="B26" s="19">
        <f>B23*'Run grid'!$B$4+B24*'Run grid'!$B$6+B25*'Run grid'!$B$8</f>
        <v/>
      </c>
    </row>
    <row r="27">
      <c r="A27" s="16" t="inlineStr">
        <is>
          <t>Tables, impurity runs (3 pressures, drift only)</t>
        </is>
      </c>
      <c r="B27" s="19">
        <f>3*COUNTIF(Impurities!$A$2:$A$500,"I*")</f>
        <v/>
      </c>
    </row>
    <row r="28">
      <c r="A28" s="16" t="inlineStr">
        <is>
          <t>CPU h, mixture tables</t>
        </is>
      </c>
      <c r="B28" s="15">
        <f>B26*B22</f>
        <v/>
      </c>
    </row>
    <row r="29">
      <c r="A29" s="16" t="inlineStr">
        <is>
          <t>CPU h, impurity tables</t>
        </is>
      </c>
      <c r="B29" s="15">
        <f>B27*'Run grid'!$B$10*'Run grid'!$B$14/3600</f>
        <v/>
      </c>
    </row>
    <row r="30">
      <c r="A30" s="16" t="inlineStr">
        <is>
          <t>CPU h, Penning matching</t>
        </is>
      </c>
      <c r="B30" s="15">
        <f>B23*'Run grid'!$B$18*'Run grid'!$B$17/60</f>
        <v/>
      </c>
    </row>
    <row r="31">
      <c r="A31" s="16" t="inlineStr">
        <is>
          <t>CPU h, total</t>
        </is>
      </c>
      <c r="B31" s="15">
        <f>B28+B29+B30</f>
        <v/>
      </c>
    </row>
    <row r="32">
      <c r="A32" s="16" t="inlineStr">
        <is>
          <t>Wall time, total (days)</t>
        </is>
      </c>
      <c r="B32" s="15">
        <f>B31/'Run grid'!$B$19/24</f>
        <v/>
      </c>
    </row>
    <row r="33">
      <c r="A33" s="16" t="inlineStr">
        <is>
          <t>Wall time, priority A only (h)</t>
        </is>
      </c>
      <c r="B33" s="15">
        <f>(B23*'Run grid'!$B$4*B22+B30)/'Run grid'!$B$19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26" customWidth="1" min="3" max="3"/>
    <col width="9" customWidth="1" min="4" max="4"/>
    <col width="10" customWidth="1" min="5" max="5"/>
    <col width="14" customWidth="1" min="6" max="6"/>
    <col width="18" customWidth="1" min="7" max="7"/>
    <col width="60" customWidth="1" min="8" max="8"/>
  </cols>
  <sheetData>
    <row r="1">
      <c r="A1" s="4" t="inlineStr">
        <is>
          <t>Run</t>
        </is>
      </c>
      <c r="B1" s="4" t="inlineStr">
        <is>
          <t>Base ID</t>
        </is>
      </c>
      <c r="C1" s="4" t="inlineStr">
        <is>
          <t>Base mixture</t>
        </is>
      </c>
      <c r="D1" s="4" t="inlineStr">
        <is>
          <t>Impurity</t>
        </is>
      </c>
      <c r="E1" s="4" t="inlineStr">
        <is>
          <t>Level (ppm)</t>
        </is>
      </c>
      <c r="F1" s="4" t="inlineStr">
        <is>
          <t>Pressures (bar)</t>
        </is>
      </c>
      <c r="G1" s="4" t="inlineStr">
        <is>
          <t>Fields</t>
        </is>
      </c>
      <c r="H1" s="4" t="inlineStr">
        <is>
          <t>Purpose</t>
        </is>
      </c>
    </row>
    <row r="2">
      <c r="A2" s="5" t="inlineStr">
        <is>
          <t>I01</t>
        </is>
      </c>
      <c r="B2" s="7" t="inlineStr">
        <is>
          <t>B03</t>
        </is>
      </c>
      <c r="C2" s="5">
        <f>INDEX(Mixtures!$D$2:$D$76,MATCH(B2,Mixtures!$A$2:$A$76,0))</f>
        <v/>
      </c>
      <c r="D2" s="7" t="inlineStr">
        <is>
          <t>O2</t>
        </is>
      </c>
      <c r="E2" s="7" t="n">
        <v>1</v>
      </c>
      <c r="F2" s="5" t="inlineStr">
        <is>
          <t>1, 4, 10</t>
        </is>
      </c>
      <c r="G2" s="5" t="inlineStr">
        <is>
          <t>drift table only</t>
        </is>
      </c>
      <c r="H2" s="5" t="inlineStr">
        <is>
          <t>Attachment rate and electron lifetime vs pressure (O2 three-body: ~p^2); check Magboltz third-body treatment against literature rate constants</t>
        </is>
      </c>
    </row>
    <row r="3">
      <c r="A3" s="5" t="inlineStr">
        <is>
          <t>I02</t>
        </is>
      </c>
      <c r="B3" s="7" t="inlineStr">
        <is>
          <t>B03</t>
        </is>
      </c>
      <c r="C3" s="5">
        <f>INDEX(Mixtures!$D$2:$D$76,MATCH(B3,Mixtures!$A$2:$A$76,0))</f>
        <v/>
      </c>
      <c r="D3" s="7" t="inlineStr">
        <is>
          <t>O2</t>
        </is>
      </c>
      <c r="E3" s="7" t="n">
        <v>10</v>
      </c>
      <c r="F3" s="5" t="inlineStr">
        <is>
          <t>1, 4, 10</t>
        </is>
      </c>
      <c r="G3" s="5" t="inlineStr">
        <is>
          <t>drift table only</t>
        </is>
      </c>
      <c r="H3" s="5" t="inlineStr">
        <is>
          <t>Attachment rate and electron lifetime vs pressure (O2 three-body: ~p^2); check Magboltz third-body treatment against literature rate constants</t>
        </is>
      </c>
    </row>
    <row r="4">
      <c r="A4" s="5" t="inlineStr">
        <is>
          <t>I03</t>
        </is>
      </c>
      <c r="B4" s="7" t="inlineStr">
        <is>
          <t>B03</t>
        </is>
      </c>
      <c r="C4" s="5">
        <f>INDEX(Mixtures!$D$2:$D$76,MATCH(B4,Mixtures!$A$2:$A$76,0))</f>
        <v/>
      </c>
      <c r="D4" s="7" t="inlineStr">
        <is>
          <t>O2</t>
        </is>
      </c>
      <c r="E4" s="7" t="n">
        <v>100</v>
      </c>
      <c r="F4" s="5" t="inlineStr">
        <is>
          <t>1, 4, 10</t>
        </is>
      </c>
      <c r="G4" s="5" t="inlineStr">
        <is>
          <t>drift table only</t>
        </is>
      </c>
      <c r="H4" s="5" t="inlineStr">
        <is>
          <t>Attachment rate and electron lifetime vs pressure (O2 three-body: ~p^2); check Magboltz third-body treatment against literature rate constants</t>
        </is>
      </c>
    </row>
    <row r="5">
      <c r="A5" s="5" t="inlineStr">
        <is>
          <t>I04</t>
        </is>
      </c>
      <c r="B5" s="7" t="inlineStr">
        <is>
          <t>B03</t>
        </is>
      </c>
      <c r="C5" s="5">
        <f>INDEX(Mixtures!$D$2:$D$76,MATCH(B5,Mixtures!$A$2:$A$76,0))</f>
        <v/>
      </c>
      <c r="D5" s="7" t="inlineStr">
        <is>
          <t>H2O</t>
        </is>
      </c>
      <c r="E5" s="7" t="n">
        <v>10</v>
      </c>
      <c r="F5" s="5" t="inlineStr">
        <is>
          <t>1, 4, 10</t>
        </is>
      </c>
      <c r="G5" s="5" t="inlineStr">
        <is>
          <t>drift table only</t>
        </is>
      </c>
      <c r="H5" s="5" t="inlineStr">
        <is>
          <t>Attachment rate and electron lifetime vs pressure (O2 three-body: ~p^2); check Magboltz third-body treatment against literature rate constants</t>
        </is>
      </c>
    </row>
    <row r="6">
      <c r="A6" s="5" t="inlineStr">
        <is>
          <t>I05</t>
        </is>
      </c>
      <c r="B6" s="7" t="inlineStr">
        <is>
          <t>B03</t>
        </is>
      </c>
      <c r="C6" s="5">
        <f>INDEX(Mixtures!$D$2:$D$76,MATCH(B6,Mixtures!$A$2:$A$76,0))</f>
        <v/>
      </c>
      <c r="D6" s="7" t="inlineStr">
        <is>
          <t>H2O</t>
        </is>
      </c>
      <c r="E6" s="7" t="n">
        <v>100</v>
      </c>
      <c r="F6" s="5" t="inlineStr">
        <is>
          <t>1, 4, 10</t>
        </is>
      </c>
      <c r="G6" s="5" t="inlineStr">
        <is>
          <t>drift table only</t>
        </is>
      </c>
      <c r="H6" s="5" t="inlineStr">
        <is>
          <t>Attachment rate and electron lifetime vs pressure (O2 three-body: ~p^2); check Magboltz third-body treatment against literature rate constants</t>
        </is>
      </c>
    </row>
    <row r="7">
      <c r="A7" s="5" t="inlineStr">
        <is>
          <t>I06</t>
        </is>
      </c>
      <c r="B7" s="7" t="inlineStr">
        <is>
          <t>B05</t>
        </is>
      </c>
      <c r="C7" s="5">
        <f>INDEX(Mixtures!$D$2:$D$76,MATCH(B7,Mixtures!$A$2:$A$76,0))</f>
        <v/>
      </c>
      <c r="D7" s="7" t="inlineStr">
        <is>
          <t>O2</t>
        </is>
      </c>
      <c r="E7" s="7" t="n">
        <v>1</v>
      </c>
      <c r="F7" s="5" t="inlineStr">
        <is>
          <t>1, 4, 10</t>
        </is>
      </c>
      <c r="G7" s="5" t="inlineStr">
        <is>
          <t>drift table only</t>
        </is>
      </c>
      <c r="H7" s="5" t="inlineStr">
        <is>
          <t>Attachment rate and electron lifetime vs pressure (O2 three-body: ~p^2); check Magboltz third-body treatment against literature rate constants</t>
        </is>
      </c>
    </row>
    <row r="8">
      <c r="A8" s="5" t="inlineStr">
        <is>
          <t>I07</t>
        </is>
      </c>
      <c r="B8" s="7" t="inlineStr">
        <is>
          <t>B05</t>
        </is>
      </c>
      <c r="C8" s="5">
        <f>INDEX(Mixtures!$D$2:$D$76,MATCH(B8,Mixtures!$A$2:$A$76,0))</f>
        <v/>
      </c>
      <c r="D8" s="7" t="inlineStr">
        <is>
          <t>O2</t>
        </is>
      </c>
      <c r="E8" s="7" t="n">
        <v>10</v>
      </c>
      <c r="F8" s="5" t="inlineStr">
        <is>
          <t>1, 4, 10</t>
        </is>
      </c>
      <c r="G8" s="5" t="inlineStr">
        <is>
          <t>drift table only</t>
        </is>
      </c>
      <c r="H8" s="5" t="inlineStr">
        <is>
          <t>Attachment rate and electron lifetime vs pressure (O2 three-body: ~p^2); check Magboltz third-body treatment against literature rate constants</t>
        </is>
      </c>
    </row>
    <row r="9">
      <c r="A9" s="5" t="inlineStr">
        <is>
          <t>I08</t>
        </is>
      </c>
      <c r="B9" s="7" t="inlineStr">
        <is>
          <t>B05</t>
        </is>
      </c>
      <c r="C9" s="5">
        <f>INDEX(Mixtures!$D$2:$D$76,MATCH(B9,Mixtures!$A$2:$A$76,0))</f>
        <v/>
      </c>
      <c r="D9" s="7" t="inlineStr">
        <is>
          <t>O2</t>
        </is>
      </c>
      <c r="E9" s="7" t="n">
        <v>100</v>
      </c>
      <c r="F9" s="5" t="inlineStr">
        <is>
          <t>1, 4, 10</t>
        </is>
      </c>
      <c r="G9" s="5" t="inlineStr">
        <is>
          <t>drift table only</t>
        </is>
      </c>
      <c r="H9" s="5" t="inlineStr">
        <is>
          <t>Attachment rate and electron lifetime vs pressure (O2 three-body: ~p^2); check Magboltz third-body treatment against literature rate constants</t>
        </is>
      </c>
    </row>
    <row r="10">
      <c r="A10" s="5" t="inlineStr">
        <is>
          <t>I09</t>
        </is>
      </c>
      <c r="B10" s="7" t="inlineStr">
        <is>
          <t>B05</t>
        </is>
      </c>
      <c r="C10" s="5">
        <f>INDEX(Mixtures!$D$2:$D$76,MATCH(B10,Mixtures!$A$2:$A$76,0))</f>
        <v/>
      </c>
      <c r="D10" s="7" t="inlineStr">
        <is>
          <t>H2O</t>
        </is>
      </c>
      <c r="E10" s="7" t="n">
        <v>10</v>
      </c>
      <c r="F10" s="5" t="inlineStr">
        <is>
          <t>1, 4, 10</t>
        </is>
      </c>
      <c r="G10" s="5" t="inlineStr">
        <is>
          <t>drift table only</t>
        </is>
      </c>
      <c r="H10" s="5" t="inlineStr">
        <is>
          <t>Attachment rate and electron lifetime vs pressure (O2 three-body: ~p^2); check Magboltz third-body treatment against literature rate constants</t>
        </is>
      </c>
    </row>
    <row r="11">
      <c r="A11" s="5" t="inlineStr">
        <is>
          <t>I10</t>
        </is>
      </c>
      <c r="B11" s="7" t="inlineStr">
        <is>
          <t>B05</t>
        </is>
      </c>
      <c r="C11" s="5">
        <f>INDEX(Mixtures!$D$2:$D$76,MATCH(B11,Mixtures!$A$2:$A$76,0))</f>
        <v/>
      </c>
      <c r="D11" s="7" t="inlineStr">
        <is>
          <t>H2O</t>
        </is>
      </c>
      <c r="E11" s="7" t="n">
        <v>100</v>
      </c>
      <c r="F11" s="5" t="inlineStr">
        <is>
          <t>1, 4, 10</t>
        </is>
      </c>
      <c r="G11" s="5" t="inlineStr">
        <is>
          <t>drift table only</t>
        </is>
      </c>
      <c r="H11" s="5" t="inlineStr">
        <is>
          <t>Attachment rate and electron lifetime vs pressure (O2 three-body: ~p^2); check Magboltz third-body treatment against literature rate constants</t>
        </is>
      </c>
    </row>
    <row r="12">
      <c r="A12" s="5" t="inlineStr">
        <is>
          <t>I11</t>
        </is>
      </c>
      <c r="B12" s="7" t="inlineStr">
        <is>
          <t>B08</t>
        </is>
      </c>
      <c r="C12" s="5">
        <f>INDEX(Mixtures!$D$2:$D$76,MATCH(B12,Mixtures!$A$2:$A$76,0))</f>
        <v/>
      </c>
      <c r="D12" s="7" t="inlineStr">
        <is>
          <t>O2</t>
        </is>
      </c>
      <c r="E12" s="7" t="n">
        <v>1</v>
      </c>
      <c r="F12" s="5" t="inlineStr">
        <is>
          <t>1, 4, 10</t>
        </is>
      </c>
      <c r="G12" s="5" t="inlineStr">
        <is>
          <t>drift table only</t>
        </is>
      </c>
      <c r="H12" s="5" t="inlineStr">
        <is>
          <t>Attachment rate and electron lifetime vs pressure (O2 three-body: ~p^2); check Magboltz third-body treatment against literature rate constants</t>
        </is>
      </c>
    </row>
    <row r="13">
      <c r="A13" s="5" t="inlineStr">
        <is>
          <t>I12</t>
        </is>
      </c>
      <c r="B13" s="7" t="inlineStr">
        <is>
          <t>B08</t>
        </is>
      </c>
      <c r="C13" s="5">
        <f>INDEX(Mixtures!$D$2:$D$76,MATCH(B13,Mixtures!$A$2:$A$76,0))</f>
        <v/>
      </c>
      <c r="D13" s="7" t="inlineStr">
        <is>
          <t>O2</t>
        </is>
      </c>
      <c r="E13" s="7" t="n">
        <v>10</v>
      </c>
      <c r="F13" s="5" t="inlineStr">
        <is>
          <t>1, 4, 10</t>
        </is>
      </c>
      <c r="G13" s="5" t="inlineStr">
        <is>
          <t>drift table only</t>
        </is>
      </c>
      <c r="H13" s="5" t="inlineStr">
        <is>
          <t>Attachment rate and electron lifetime vs pressure (O2 three-body: ~p^2); check Magboltz third-body treatment against literature rate constants</t>
        </is>
      </c>
    </row>
    <row r="14">
      <c r="A14" s="5" t="inlineStr">
        <is>
          <t>I13</t>
        </is>
      </c>
      <c r="B14" s="7" t="inlineStr">
        <is>
          <t>B08</t>
        </is>
      </c>
      <c r="C14" s="5">
        <f>INDEX(Mixtures!$D$2:$D$76,MATCH(B14,Mixtures!$A$2:$A$76,0))</f>
        <v/>
      </c>
      <c r="D14" s="7" t="inlineStr">
        <is>
          <t>O2</t>
        </is>
      </c>
      <c r="E14" s="7" t="n">
        <v>100</v>
      </c>
      <c r="F14" s="5" t="inlineStr">
        <is>
          <t>1, 4, 10</t>
        </is>
      </c>
      <c r="G14" s="5" t="inlineStr">
        <is>
          <t>drift table only</t>
        </is>
      </c>
      <c r="H14" s="5" t="inlineStr">
        <is>
          <t>Attachment rate and electron lifetime vs pressure (O2 three-body: ~p^2); check Magboltz third-body treatment against literature rate constants</t>
        </is>
      </c>
    </row>
    <row r="15">
      <c r="A15" s="5" t="inlineStr">
        <is>
          <t>I14</t>
        </is>
      </c>
      <c r="B15" s="7" t="inlineStr">
        <is>
          <t>B08</t>
        </is>
      </c>
      <c r="C15" s="5">
        <f>INDEX(Mixtures!$D$2:$D$76,MATCH(B15,Mixtures!$A$2:$A$76,0))</f>
        <v/>
      </c>
      <c r="D15" s="7" t="inlineStr">
        <is>
          <t>H2O</t>
        </is>
      </c>
      <c r="E15" s="7" t="n">
        <v>10</v>
      </c>
      <c r="F15" s="5" t="inlineStr">
        <is>
          <t>1, 4, 10</t>
        </is>
      </c>
      <c r="G15" s="5" t="inlineStr">
        <is>
          <t>drift table only</t>
        </is>
      </c>
      <c r="H15" s="5" t="inlineStr">
        <is>
          <t>Attachment rate and electron lifetime vs pressure (O2 three-body: ~p^2); check Magboltz third-body treatment against literature rate constants</t>
        </is>
      </c>
    </row>
    <row r="16">
      <c r="A16" s="5" t="inlineStr">
        <is>
          <t>I15</t>
        </is>
      </c>
      <c r="B16" s="7" t="inlineStr">
        <is>
          <t>B08</t>
        </is>
      </c>
      <c r="C16" s="5">
        <f>INDEX(Mixtures!$D$2:$D$76,MATCH(B16,Mixtures!$A$2:$A$76,0))</f>
        <v/>
      </c>
      <c r="D16" s="7" t="inlineStr">
        <is>
          <t>H2O</t>
        </is>
      </c>
      <c r="E16" s="7" t="n">
        <v>100</v>
      </c>
      <c r="F16" s="5" t="inlineStr">
        <is>
          <t>1, 4, 10</t>
        </is>
      </c>
      <c r="G16" s="5" t="inlineStr">
        <is>
          <t>drift table only</t>
        </is>
      </c>
      <c r="H16" s="5" t="inlineStr">
        <is>
          <t>Attachment rate and electron lifetime vs pressure (O2 three-body: ~p^2); check Magboltz third-body treatment against literature rate constants</t>
        </is>
      </c>
    </row>
    <row r="17">
      <c r="A17" s="5" t="inlineStr">
        <is>
          <t>I16</t>
        </is>
      </c>
      <c r="B17" s="7" t="inlineStr">
        <is>
          <t>B10</t>
        </is>
      </c>
      <c r="C17" s="5">
        <f>INDEX(Mixtures!$D$2:$D$76,MATCH(B17,Mixtures!$A$2:$A$76,0))</f>
        <v/>
      </c>
      <c r="D17" s="7" t="inlineStr">
        <is>
          <t>O2</t>
        </is>
      </c>
      <c r="E17" s="7" t="n">
        <v>1</v>
      </c>
      <c r="F17" s="5" t="inlineStr">
        <is>
          <t>1, 4, 10</t>
        </is>
      </c>
      <c r="G17" s="5" t="inlineStr">
        <is>
          <t>drift table only</t>
        </is>
      </c>
      <c r="H17" s="5" t="inlineStr">
        <is>
          <t>Attachment rate and electron lifetime vs pressure (O2 three-body: ~p^2); check Magboltz third-body treatment against literature rate constants</t>
        </is>
      </c>
    </row>
    <row r="18">
      <c r="A18" s="5" t="inlineStr">
        <is>
          <t>I17</t>
        </is>
      </c>
      <c r="B18" s="7" t="inlineStr">
        <is>
          <t>B10</t>
        </is>
      </c>
      <c r="C18" s="5">
        <f>INDEX(Mixtures!$D$2:$D$76,MATCH(B18,Mixtures!$A$2:$A$76,0))</f>
        <v/>
      </c>
      <c r="D18" s="7" t="inlineStr">
        <is>
          <t>O2</t>
        </is>
      </c>
      <c r="E18" s="7" t="n">
        <v>10</v>
      </c>
      <c r="F18" s="5" t="inlineStr">
        <is>
          <t>1, 4, 10</t>
        </is>
      </c>
      <c r="G18" s="5" t="inlineStr">
        <is>
          <t>drift table only</t>
        </is>
      </c>
      <c r="H18" s="5" t="inlineStr">
        <is>
          <t>Attachment rate and electron lifetime vs pressure (O2 three-body: ~p^2); check Magboltz third-body treatment against literature rate constants</t>
        </is>
      </c>
    </row>
    <row r="19">
      <c r="A19" s="5" t="inlineStr">
        <is>
          <t>I18</t>
        </is>
      </c>
      <c r="B19" s="7" t="inlineStr">
        <is>
          <t>B10</t>
        </is>
      </c>
      <c r="C19" s="5">
        <f>INDEX(Mixtures!$D$2:$D$76,MATCH(B19,Mixtures!$A$2:$A$76,0))</f>
        <v/>
      </c>
      <c r="D19" s="7" t="inlineStr">
        <is>
          <t>O2</t>
        </is>
      </c>
      <c r="E19" s="7" t="n">
        <v>100</v>
      </c>
      <c r="F19" s="5" t="inlineStr">
        <is>
          <t>1, 4, 10</t>
        </is>
      </c>
      <c r="G19" s="5" t="inlineStr">
        <is>
          <t>drift table only</t>
        </is>
      </c>
      <c r="H19" s="5" t="inlineStr">
        <is>
          <t>Attachment rate and electron lifetime vs pressure (O2 three-body: ~p^2); check Magboltz third-body treatment against literature rate constants</t>
        </is>
      </c>
    </row>
    <row r="20">
      <c r="A20" s="5" t="inlineStr">
        <is>
          <t>I19</t>
        </is>
      </c>
      <c r="B20" s="7" t="inlineStr">
        <is>
          <t>B10</t>
        </is>
      </c>
      <c r="C20" s="5">
        <f>INDEX(Mixtures!$D$2:$D$76,MATCH(B20,Mixtures!$A$2:$A$76,0))</f>
        <v/>
      </c>
      <c r="D20" s="7" t="inlineStr">
        <is>
          <t>H2O</t>
        </is>
      </c>
      <c r="E20" s="7" t="n">
        <v>10</v>
      </c>
      <c r="F20" s="5" t="inlineStr">
        <is>
          <t>1, 4, 10</t>
        </is>
      </c>
      <c r="G20" s="5" t="inlineStr">
        <is>
          <t>drift table only</t>
        </is>
      </c>
      <c r="H20" s="5" t="inlineStr">
        <is>
          <t>Attachment rate and electron lifetime vs pressure (O2 three-body: ~p^2); check Magboltz third-body treatment against literature rate constants</t>
        </is>
      </c>
    </row>
    <row r="21">
      <c r="A21" s="5" t="inlineStr">
        <is>
          <t>I20</t>
        </is>
      </c>
      <c r="B21" s="7" t="inlineStr">
        <is>
          <t>B10</t>
        </is>
      </c>
      <c r="C21" s="5">
        <f>INDEX(Mixtures!$D$2:$D$76,MATCH(B21,Mixtures!$A$2:$A$76,0))</f>
        <v/>
      </c>
      <c r="D21" s="7" t="inlineStr">
        <is>
          <t>H2O</t>
        </is>
      </c>
      <c r="E21" s="7" t="n">
        <v>100</v>
      </c>
      <c r="F21" s="5" t="inlineStr">
        <is>
          <t>1, 4, 10</t>
        </is>
      </c>
      <c r="G21" s="5" t="inlineStr">
        <is>
          <t>drift table only</t>
        </is>
      </c>
      <c r="H21" s="5" t="inlineStr">
        <is>
          <t>Attachment rate and electron lifetime vs pressure (O2 three-body: ~p^2); check Magboltz third-body treatment against literature rate constants</t>
        </is>
      </c>
    </row>
    <row r="22">
      <c r="A22" s="5" t="inlineStr">
        <is>
          <t>I21</t>
        </is>
      </c>
      <c r="B22" s="7" t="inlineStr">
        <is>
          <t>P02</t>
        </is>
      </c>
      <c r="C22" s="5">
        <f>INDEX(Mixtures!$D$2:$D$76,MATCH(B22,Mixtures!$A$2:$A$76,0))</f>
        <v/>
      </c>
      <c r="D22" s="7" t="inlineStr">
        <is>
          <t>O2</t>
        </is>
      </c>
      <c r="E22" s="7" t="n">
        <v>1</v>
      </c>
      <c r="F22" s="5" t="inlineStr">
        <is>
          <t>1, 4, 10</t>
        </is>
      </c>
      <c r="G22" s="5" t="inlineStr">
        <is>
          <t>drift table only</t>
        </is>
      </c>
      <c r="H22" s="5" t="inlineStr">
        <is>
          <t>Attachment rate and electron lifetime vs pressure (O2 three-body: ~p^2); check Magboltz third-body treatment against literature rate constants</t>
        </is>
      </c>
    </row>
    <row r="23">
      <c r="A23" s="5" t="inlineStr">
        <is>
          <t>I22</t>
        </is>
      </c>
      <c r="B23" s="7" t="inlineStr">
        <is>
          <t>P02</t>
        </is>
      </c>
      <c r="C23" s="5">
        <f>INDEX(Mixtures!$D$2:$D$76,MATCH(B23,Mixtures!$A$2:$A$76,0))</f>
        <v/>
      </c>
      <c r="D23" s="7" t="inlineStr">
        <is>
          <t>O2</t>
        </is>
      </c>
      <c r="E23" s="7" t="n">
        <v>10</v>
      </c>
      <c r="F23" s="5" t="inlineStr">
        <is>
          <t>1, 4, 10</t>
        </is>
      </c>
      <c r="G23" s="5" t="inlineStr">
        <is>
          <t>drift table only</t>
        </is>
      </c>
      <c r="H23" s="5" t="inlineStr">
        <is>
          <t>Attachment rate and electron lifetime vs pressure (O2 three-body: ~p^2); check Magboltz third-body treatment against literature rate constants</t>
        </is>
      </c>
    </row>
    <row r="24">
      <c r="A24" s="5" t="inlineStr">
        <is>
          <t>I23</t>
        </is>
      </c>
      <c r="B24" s="7" t="inlineStr">
        <is>
          <t>P02</t>
        </is>
      </c>
      <c r="C24" s="5">
        <f>INDEX(Mixtures!$D$2:$D$76,MATCH(B24,Mixtures!$A$2:$A$76,0))</f>
        <v/>
      </c>
      <c r="D24" s="7" t="inlineStr">
        <is>
          <t>O2</t>
        </is>
      </c>
      <c r="E24" s="7" t="n">
        <v>100</v>
      </c>
      <c r="F24" s="5" t="inlineStr">
        <is>
          <t>1, 4, 10</t>
        </is>
      </c>
      <c r="G24" s="5" t="inlineStr">
        <is>
          <t>drift table only</t>
        </is>
      </c>
      <c r="H24" s="5" t="inlineStr">
        <is>
          <t>Attachment rate and electron lifetime vs pressure (O2 three-body: ~p^2); check Magboltz third-body treatment against literature rate constants</t>
        </is>
      </c>
    </row>
    <row r="25">
      <c r="A25" s="5" t="inlineStr">
        <is>
          <t>I24</t>
        </is>
      </c>
      <c r="B25" s="7" t="inlineStr">
        <is>
          <t>P02</t>
        </is>
      </c>
      <c r="C25" s="5">
        <f>INDEX(Mixtures!$D$2:$D$76,MATCH(B25,Mixtures!$A$2:$A$76,0))</f>
        <v/>
      </c>
      <c r="D25" s="7" t="inlineStr">
        <is>
          <t>H2O</t>
        </is>
      </c>
      <c r="E25" s="7" t="n">
        <v>10</v>
      </c>
      <c r="F25" s="5" t="inlineStr">
        <is>
          <t>1, 4, 10</t>
        </is>
      </c>
      <c r="G25" s="5" t="inlineStr">
        <is>
          <t>drift table only</t>
        </is>
      </c>
      <c r="H25" s="5" t="inlineStr">
        <is>
          <t>Attachment rate and electron lifetime vs pressure (O2 three-body: ~p^2); check Magboltz third-body treatment against literature rate constants</t>
        </is>
      </c>
    </row>
    <row r="26">
      <c r="A26" s="5" t="inlineStr">
        <is>
          <t>I25</t>
        </is>
      </c>
      <c r="B26" s="7" t="inlineStr">
        <is>
          <t>P02</t>
        </is>
      </c>
      <c r="C26" s="5">
        <f>INDEX(Mixtures!$D$2:$D$76,MATCH(B26,Mixtures!$A$2:$A$76,0))</f>
        <v/>
      </c>
      <c r="D26" s="7" t="inlineStr">
        <is>
          <t>H2O</t>
        </is>
      </c>
      <c r="E26" s="7" t="n">
        <v>100</v>
      </c>
      <c r="F26" s="5" t="inlineStr">
        <is>
          <t>1, 4, 10</t>
        </is>
      </c>
      <c r="G26" s="5" t="inlineStr">
        <is>
          <t>drift table only</t>
        </is>
      </c>
      <c r="H26" s="5" t="inlineStr">
        <is>
          <t>Attachment rate and electron lifetime vs pressure (O2 three-body: ~p^2); check Magboltz third-body treatment against literature rate constants</t>
        </is>
      </c>
    </row>
    <row r="27">
      <c r="A27" s="5" t="inlineStr">
        <is>
          <t>I26</t>
        </is>
      </c>
      <c r="B27" s="7" t="inlineStr">
        <is>
          <t>P14</t>
        </is>
      </c>
      <c r="C27" s="5">
        <f>INDEX(Mixtures!$D$2:$D$76,MATCH(B27,Mixtures!$A$2:$A$76,0))</f>
        <v/>
      </c>
      <c r="D27" s="7" t="inlineStr">
        <is>
          <t>O2</t>
        </is>
      </c>
      <c r="E27" s="7" t="n">
        <v>1</v>
      </c>
      <c r="F27" s="5" t="inlineStr">
        <is>
          <t>1, 4, 10</t>
        </is>
      </c>
      <c r="G27" s="5" t="inlineStr">
        <is>
          <t>drift table only</t>
        </is>
      </c>
      <c r="H27" s="5" t="inlineStr">
        <is>
          <t>Attachment rate and electron lifetime vs pressure (O2 three-body: ~p^2); check Magboltz third-body treatment against literature rate constants</t>
        </is>
      </c>
    </row>
    <row r="28">
      <c r="A28" s="5" t="inlineStr">
        <is>
          <t>I27</t>
        </is>
      </c>
      <c r="B28" s="7" t="inlineStr">
        <is>
          <t>P14</t>
        </is>
      </c>
      <c r="C28" s="5">
        <f>INDEX(Mixtures!$D$2:$D$76,MATCH(B28,Mixtures!$A$2:$A$76,0))</f>
        <v/>
      </c>
      <c r="D28" s="7" t="inlineStr">
        <is>
          <t>O2</t>
        </is>
      </c>
      <c r="E28" s="7" t="n">
        <v>10</v>
      </c>
      <c r="F28" s="5" t="inlineStr">
        <is>
          <t>1, 4, 10</t>
        </is>
      </c>
      <c r="G28" s="5" t="inlineStr">
        <is>
          <t>drift table only</t>
        </is>
      </c>
      <c r="H28" s="5" t="inlineStr">
        <is>
          <t>Attachment rate and electron lifetime vs pressure (O2 three-body: ~p^2); check Magboltz third-body treatment against literature rate constants</t>
        </is>
      </c>
    </row>
    <row r="29">
      <c r="A29" s="5" t="inlineStr">
        <is>
          <t>I28</t>
        </is>
      </c>
      <c r="B29" s="7" t="inlineStr">
        <is>
          <t>P14</t>
        </is>
      </c>
      <c r="C29" s="5">
        <f>INDEX(Mixtures!$D$2:$D$76,MATCH(B29,Mixtures!$A$2:$A$76,0))</f>
        <v/>
      </c>
      <c r="D29" s="7" t="inlineStr">
        <is>
          <t>O2</t>
        </is>
      </c>
      <c r="E29" s="7" t="n">
        <v>100</v>
      </c>
      <c r="F29" s="5" t="inlineStr">
        <is>
          <t>1, 4, 10</t>
        </is>
      </c>
      <c r="G29" s="5" t="inlineStr">
        <is>
          <t>drift table only</t>
        </is>
      </c>
      <c r="H29" s="5" t="inlineStr">
        <is>
          <t>Attachment rate and electron lifetime vs pressure (O2 three-body: ~p^2); check Magboltz third-body treatment against literature rate constants</t>
        </is>
      </c>
    </row>
    <row r="30">
      <c r="A30" s="5" t="inlineStr">
        <is>
          <t>I29</t>
        </is>
      </c>
      <c r="B30" s="7" t="inlineStr">
        <is>
          <t>P14</t>
        </is>
      </c>
      <c r="C30" s="5">
        <f>INDEX(Mixtures!$D$2:$D$76,MATCH(B30,Mixtures!$A$2:$A$76,0))</f>
        <v/>
      </c>
      <c r="D30" s="7" t="inlineStr">
        <is>
          <t>H2O</t>
        </is>
      </c>
      <c r="E30" s="7" t="n">
        <v>10</v>
      </c>
      <c r="F30" s="5" t="inlineStr">
        <is>
          <t>1, 4, 10</t>
        </is>
      </c>
      <c r="G30" s="5" t="inlineStr">
        <is>
          <t>drift table only</t>
        </is>
      </c>
      <c r="H30" s="5" t="inlineStr">
        <is>
          <t>Attachment rate and electron lifetime vs pressure (O2 three-body: ~p^2); check Magboltz third-body treatment against literature rate constants</t>
        </is>
      </c>
    </row>
    <row r="31">
      <c r="A31" s="5" t="inlineStr">
        <is>
          <t>I30</t>
        </is>
      </c>
      <c r="B31" s="7" t="inlineStr">
        <is>
          <t>P14</t>
        </is>
      </c>
      <c r="C31" s="5">
        <f>INDEX(Mixtures!$D$2:$D$76,MATCH(B31,Mixtures!$A$2:$A$76,0))</f>
        <v/>
      </c>
      <c r="D31" s="7" t="inlineStr">
        <is>
          <t>H2O</t>
        </is>
      </c>
      <c r="E31" s="7" t="n">
        <v>100</v>
      </c>
      <c r="F31" s="5" t="inlineStr">
        <is>
          <t>1, 4, 10</t>
        </is>
      </c>
      <c r="G31" s="5" t="inlineStr">
        <is>
          <t>drift table only</t>
        </is>
      </c>
      <c r="H31" s="5" t="inlineStr">
        <is>
          <t>Attachment rate and electron lifetime vs pressure (O2 three-body: ~p^2); check Magboltz third-body treatment against literature rate constants</t>
        </is>
      </c>
    </row>
    <row r="32">
      <c r="A32" s="5" t="inlineStr">
        <is>
          <t>I31</t>
        </is>
      </c>
      <c r="B32" s="7" t="inlineStr">
        <is>
          <t>F01</t>
        </is>
      </c>
      <c r="C32" s="5">
        <f>INDEX(Mixtures!$D$2:$D$76,MATCH(B32,Mixtures!$A$2:$A$76,0))</f>
        <v/>
      </c>
      <c r="D32" s="7" t="inlineStr">
        <is>
          <t>O2</t>
        </is>
      </c>
      <c r="E32" s="7" t="n">
        <v>1</v>
      </c>
      <c r="F32" s="5" t="inlineStr">
        <is>
          <t>1, 4, 10</t>
        </is>
      </c>
      <c r="G32" s="5" t="inlineStr">
        <is>
          <t>drift table only</t>
        </is>
      </c>
      <c r="H32" s="5" t="inlineStr">
        <is>
          <t>Attachment rate and electron lifetime vs pressure (O2 three-body: ~p^2); check Magboltz third-body treatment against literature rate constants</t>
        </is>
      </c>
    </row>
    <row r="33">
      <c r="A33" s="5" t="inlineStr">
        <is>
          <t>I32</t>
        </is>
      </c>
      <c r="B33" s="7" t="inlineStr">
        <is>
          <t>F01</t>
        </is>
      </c>
      <c r="C33" s="5">
        <f>INDEX(Mixtures!$D$2:$D$76,MATCH(B33,Mixtures!$A$2:$A$76,0))</f>
        <v/>
      </c>
      <c r="D33" s="7" t="inlineStr">
        <is>
          <t>O2</t>
        </is>
      </c>
      <c r="E33" s="7" t="n">
        <v>10</v>
      </c>
      <c r="F33" s="5" t="inlineStr">
        <is>
          <t>1, 4, 10</t>
        </is>
      </c>
      <c r="G33" s="5" t="inlineStr">
        <is>
          <t>drift table only</t>
        </is>
      </c>
      <c r="H33" s="5" t="inlineStr">
        <is>
          <t>Attachment rate and electron lifetime vs pressure (O2 three-body: ~p^2); check Magboltz third-body treatment against literature rate constants</t>
        </is>
      </c>
    </row>
    <row r="34">
      <c r="A34" s="5" t="inlineStr">
        <is>
          <t>I33</t>
        </is>
      </c>
      <c r="B34" s="7" t="inlineStr">
        <is>
          <t>F01</t>
        </is>
      </c>
      <c r="C34" s="5">
        <f>INDEX(Mixtures!$D$2:$D$76,MATCH(B34,Mixtures!$A$2:$A$76,0))</f>
        <v/>
      </c>
      <c r="D34" s="7" t="inlineStr">
        <is>
          <t>O2</t>
        </is>
      </c>
      <c r="E34" s="7" t="n">
        <v>100</v>
      </c>
      <c r="F34" s="5" t="inlineStr">
        <is>
          <t>1, 4, 10</t>
        </is>
      </c>
      <c r="G34" s="5" t="inlineStr">
        <is>
          <t>drift table only</t>
        </is>
      </c>
      <c r="H34" s="5" t="inlineStr">
        <is>
          <t>Attachment rate and electron lifetime vs pressure (O2 three-body: ~p^2); check Magboltz third-body treatment against literature rate constants</t>
        </is>
      </c>
    </row>
    <row r="35">
      <c r="A35" s="5" t="inlineStr">
        <is>
          <t>I34</t>
        </is>
      </c>
      <c r="B35" s="7" t="inlineStr">
        <is>
          <t>F01</t>
        </is>
      </c>
      <c r="C35" s="5">
        <f>INDEX(Mixtures!$D$2:$D$76,MATCH(B35,Mixtures!$A$2:$A$76,0))</f>
        <v/>
      </c>
      <c r="D35" s="7" t="inlineStr">
        <is>
          <t>H2O</t>
        </is>
      </c>
      <c r="E35" s="7" t="n">
        <v>10</v>
      </c>
      <c r="F35" s="5" t="inlineStr">
        <is>
          <t>1, 4, 10</t>
        </is>
      </c>
      <c r="G35" s="5" t="inlineStr">
        <is>
          <t>drift table only</t>
        </is>
      </c>
      <c r="H35" s="5" t="inlineStr">
        <is>
          <t>Attachment rate and electron lifetime vs pressure (O2 three-body: ~p^2); check Magboltz third-body treatment against literature rate constants</t>
        </is>
      </c>
    </row>
    <row r="36">
      <c r="A36" s="5" t="inlineStr">
        <is>
          <t>I35</t>
        </is>
      </c>
      <c r="B36" s="7" t="inlineStr">
        <is>
          <t>F01</t>
        </is>
      </c>
      <c r="C36" s="5">
        <f>INDEX(Mixtures!$D$2:$D$76,MATCH(B36,Mixtures!$A$2:$A$76,0))</f>
        <v/>
      </c>
      <c r="D36" s="7" t="inlineStr">
        <is>
          <t>H2O</t>
        </is>
      </c>
      <c r="E36" s="7" t="n">
        <v>100</v>
      </c>
      <c r="F36" s="5" t="inlineStr">
        <is>
          <t>1, 4, 10</t>
        </is>
      </c>
      <c r="G36" s="5" t="inlineStr">
        <is>
          <t>drift table only</t>
        </is>
      </c>
      <c r="H36" s="5" t="inlineStr">
        <is>
          <t>Attachment rate and electron lifetime vs pressure (O2 three-body: ~p^2); check Magboltz third-body treatment against literature rate constants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40" customWidth="1" min="3" max="3"/>
    <col width="70" customWidth="1" min="4" max="4"/>
  </cols>
  <sheetData>
    <row r="1">
      <c r="A1" s="4" t="inlineStr">
        <is>
          <t>Quantity</t>
        </is>
      </c>
      <c r="B1" s="4" t="inlineStr">
        <is>
          <t>From</t>
        </is>
      </c>
      <c r="C1" s="4" t="inlineStr">
        <is>
          <t>Evaluated at</t>
        </is>
      </c>
      <c r="D1" s="4" t="inlineStr">
        <is>
          <t>Figure of merit / use</t>
        </is>
      </c>
    </row>
    <row r="2">
      <c r="A2" s="5" t="inlineStr">
        <is>
          <t>Drift velocity v_d(E)</t>
        </is>
      </c>
      <c r="B2" s="5" t="inlineStr">
        <is>
          <t>drift table</t>
        </is>
      </c>
      <c r="C2" s="5" t="inlineStr">
        <is>
          <t>E/p 5-500 V/cm/bar</t>
        </is>
      </c>
      <c r="D2" s="5" t="inlineStr">
        <is>
          <t>v_d at the nominal field; flatness dv/dE (stability against field/pressure drifts)</t>
        </is>
      </c>
    </row>
    <row r="3">
      <c r="A3" s="5" t="inlineStr">
        <is>
          <t>Longitudinal diffusion D_L (um/sqrt(cm))</t>
        </is>
      </c>
      <c r="B3" s="5" t="inlineStr">
        <is>
          <t>drift table</t>
        </is>
      </c>
      <c r="C3" s="5" t="inlineStr">
        <is>
          <t>same</t>
        </is>
      </c>
      <c r="D3" s="5" t="inlineStr">
        <is>
          <t>sigma_z over the maximum drift length</t>
        </is>
      </c>
    </row>
    <row r="4">
      <c r="A4" s="5" t="inlineStr">
        <is>
          <t>Transverse diffusion D_T (um/sqrt(cm))</t>
        </is>
      </c>
      <c r="B4" s="5" t="inlineStr">
        <is>
          <t>drift table</t>
        </is>
      </c>
      <c r="C4" s="5" t="inlineStr">
        <is>
          <t>same</t>
        </is>
      </c>
      <c r="D4" s="5" t="inlineStr">
        <is>
          <t>sigma_xy over the maximum drift length vs pad pitch</t>
        </is>
      </c>
    </row>
    <row r="5">
      <c r="A5" s="5" t="inlineStr">
        <is>
          <t>Attachment eta(E)</t>
        </is>
      </c>
      <c r="B5" s="5" t="inlineStr">
        <is>
          <t>drift table</t>
        </is>
      </c>
      <c r="C5" s="5" t="inlineStr">
        <is>
          <t>same</t>
        </is>
      </c>
      <c r="D5" s="5" t="inlineStr">
        <is>
          <t>fraction lost over max drift; lifetime with impurities</t>
        </is>
      </c>
    </row>
    <row r="6">
      <c r="A6" s="5" t="inlineStr">
        <is>
          <t>Characteristic energy eps_k = e D_T / mu</t>
        </is>
      </c>
      <c r="B6" s="5" t="inlineStr">
        <is>
          <t>drift table</t>
        </is>
      </c>
      <c r="C6" s="5" t="inlineStr">
        <is>
          <t>same</t>
        </is>
      </c>
      <c r="D6" s="5" t="inlineStr">
        <is>
          <t>electron temperature; cooling by the quencher</t>
        </is>
      </c>
    </row>
    <row r="7">
      <c r="A7" s="5" t="inlineStr">
        <is>
          <t>Townsend alpha(E), no Penning</t>
        </is>
      </c>
      <c r="B7" s="5" t="inlineStr">
        <is>
          <t>avalanche table</t>
        </is>
      </c>
      <c r="C7" s="5" t="inlineStr">
        <is>
          <t>E/p 5-200 kV/cm/bar</t>
        </is>
      </c>
      <c r="D7" s="5" t="inlineStr">
        <is>
          <t>baseline gain potential</t>
        </is>
      </c>
    </row>
    <row r="8">
      <c r="A8" s="5" t="inlineStr">
        <is>
          <t>Townsend alpha(E; r), r grid + auto</t>
        </is>
      </c>
      <c r="B8" s="5" t="inlineStr">
        <is>
          <t>avalanche table + stored rates</t>
        </is>
      </c>
      <c r="C8" s="5" t="inlineStr">
        <is>
          <t>same</t>
        </is>
      </c>
      <c r="D8" s="5" t="inlineStr">
        <is>
          <t>gain potential vs Penning efficiency</t>
        </is>
      </c>
    </row>
    <row r="9">
      <c r="A9" s="5" t="inlineStr">
        <is>
          <t>Penning-eligible excitations / ionisation</t>
        </is>
      </c>
      <c r="B9" s="5" t="inlineStr">
        <is>
          <t>avalanche table (level rates)</t>
        </is>
      </c>
      <c r="C9" s="5" t="inlineStr">
        <is>
          <t>same</t>
        </is>
      </c>
      <c r="D9" s="5" t="inlineStr">
        <is>
          <t>upper bound of the Penning boost</t>
        </is>
      </c>
    </row>
    <row r="10">
      <c r="A10" s="5" t="inlineStr">
        <is>
          <t>Radiative Ar excitations / ionisation</t>
        </is>
      </c>
      <c r="B10" s="5" t="inlineStr">
        <is>
          <t>avalanche table (level rates)</t>
        </is>
      </c>
      <c r="C10" s="5" t="inlineStr">
        <is>
          <t>same</t>
        </is>
      </c>
      <c r="D10" s="5" t="inlineStr">
        <is>
          <t>photon-feedback proxy: VUV photons per avalanche electron x (1 - r)</t>
        </is>
      </c>
    </row>
    <row r="11">
      <c r="A11" s="5" t="inlineStr">
        <is>
          <t>Attachment in the holes eta(E)</t>
        </is>
      </c>
      <c r="B11" s="5" t="inlineStr">
        <is>
          <t>avalanche table</t>
        </is>
      </c>
      <c r="C11" s="5" t="inlineStr">
        <is>
          <t>same</t>
        </is>
      </c>
      <c r="D11" s="5" t="inlineStr">
        <is>
          <t>gain loss (CF4, O2)</t>
        </is>
      </c>
    </row>
    <row r="12">
      <c r="A12" s="5" t="inlineStr">
        <is>
          <t>E/p needed for alpha/p = target</t>
        </is>
      </c>
      <c r="B12" s="5" t="inlineStr">
        <is>
          <t>derived</t>
        </is>
      </c>
      <c r="C12" s="5" t="inlineStr">
        <is>
          <t>alpha d = ln(per-foil absolute gain, Criteria) over d = 50 um</t>
        </is>
      </c>
      <c r="D12" s="5" t="inlineStr">
        <is>
          <t>ranking of gain reach per mixture and pressure</t>
        </is>
      </c>
    </row>
    <row r="13">
      <c r="A13" s="5" t="inlineStr">
        <is>
          <t>1-D single-GEM gain estimate G(dV)</t>
        </is>
      </c>
      <c r="B13" s="5" t="inlineStr">
        <is>
          <t>derived: alpha integrated along the hole axis of a standard GEM field map</t>
        </is>
      </c>
      <c r="C13" s="5" t="inlineStr">
        <is>
          <t>dV scan</t>
        </is>
      </c>
      <c r="D13" s="5" t="inlineStr">
        <is>
          <t>dV for the per-foil absolute gains of a single, double and triple GEM (Criteria)</t>
        </is>
      </c>
    </row>
    <row r="14">
      <c r="A14" s="5" t="inlineStr">
        <is>
          <t>Drift time over L</t>
        </is>
      </c>
      <c r="B14" s="5" t="inlineStr">
        <is>
          <t>v_d at the nominal field</t>
        </is>
      </c>
      <c r="C14" s="5" t="inlineStr">
        <is>
          <t>L = 250 and 500 cm</t>
        </is>
      </c>
      <c r="D14" s="5" t="inlineStr">
        <is>
          <t>sets the electron-lifetime requirement</t>
        </is>
      </c>
    </row>
    <row r="15">
      <c r="A15" s="5" t="inlineStr">
        <is>
          <t>Max O2 (and H2O) level for 10 % loss over L</t>
        </is>
      </c>
      <c r="B15" s="5" t="inlineStr">
        <is>
          <t>impurity runs: attachment rate vs ppm</t>
        </is>
      </c>
      <c r="C15" s="5" t="inlineStr">
        <is>
          <t>nominal field, 1-10 bar</t>
        </is>
      </c>
      <c r="D15" s="5" t="inlineStr">
        <is>
          <t>purity requirement per mixture (the purity is not known yet)</t>
        </is>
      </c>
    </row>
    <row r="16">
      <c r="A16" s="5" t="inlineStr">
        <is>
          <t>r_micro (Penning matching)</t>
        </is>
      </c>
      <c r="B16" s="5" t="inlineStr">
        <is>
          <t>simgem_penning</t>
        </is>
      </c>
      <c r="C16" s="5" t="inlineStr">
        <is>
          <t>1 and 10 bar, priority A</t>
        </is>
      </c>
      <c r="D16" s="5" t="inlineStr">
        <is>
          <t>input for the single-GEM simulations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44" customWidth="1" min="2" max="2"/>
    <col width="46" customWidth="1" min="3" max="3"/>
    <col width="34" customWidth="1" min="4" max="4"/>
  </cols>
  <sheetData>
    <row r="1">
      <c r="A1" s="4" t="inlineStr">
        <is>
          <t>Data</t>
        </is>
      </c>
      <c r="B1" s="4" t="inlineStr">
        <is>
          <t>Mixture / conditions</t>
        </is>
      </c>
      <c r="C1" s="4" t="inlineStr">
        <is>
          <t>Compare</t>
        </is>
      </c>
      <c r="D1" s="4" t="inlineStr">
        <is>
          <t>Status</t>
        </is>
      </c>
    </row>
    <row r="2">
      <c r="A2" s="5" t="inlineStr">
        <is>
          <t>Sahin et al., NIM A 768 (2014) 104</t>
        </is>
      </c>
      <c r="B2" s="5" t="inlineStr">
        <is>
          <t>Ar:CO2, wire counters, ~1 atm</t>
        </is>
      </c>
      <c r="C2" s="5" t="inlineStr">
        <is>
          <t>gain with table + Penning</t>
        </is>
      </c>
      <c r="D2" s="5" t="inlineStr">
        <is>
          <t>done 2026-10-23: within a few %</t>
        </is>
      </c>
    </row>
    <row r="3">
      <c r="A3" s="5" t="inlineStr">
        <is>
          <t>Z. Ye et al. (in Sahin 2010, Fig. 11)</t>
        </is>
      </c>
      <c r="B3" s="5" t="inlineStr">
        <is>
          <t>Ar:CH4 90:10, 1-21 atm; 98:2, 1-28 atm</t>
        </is>
      </c>
      <c r="C3" s="5" t="inlineStr">
        <is>
          <t>counter gain at 7, 14 atm (90:10) and 98:2</t>
        </is>
      </c>
      <c r="D3" s="5" t="inlineStr">
        <is>
          <t>3.5 and 7 atm done: sim/data 0.3-0.7; extend</t>
        </is>
      </c>
    </row>
    <row r="4">
      <c r="A4" s="5" t="inlineStr">
        <is>
          <t>P10 drift velocity / diffusion (literature)</t>
        </is>
      </c>
      <c r="B4" s="5" t="inlineStr">
        <is>
          <t>Ar:CH4 90:10, 1 to several bar</t>
        </is>
      </c>
      <c r="C4" s="5" t="inlineStr">
        <is>
          <t>v_d, D_L, D_T</t>
        </is>
      </c>
      <c r="D4" s="5" t="inlineStr">
        <is>
          <t>to do</t>
        </is>
      </c>
    </row>
    <row r="5">
      <c r="A5" s="5" t="inlineStr">
        <is>
          <t>T2K TPC gas measurements</t>
        </is>
      </c>
      <c r="B5" s="5" t="inlineStr">
        <is>
          <t>Ar:CF4:iC4H10 95:3:2, 1 bar</t>
        </is>
      </c>
      <c r="C5" s="5" t="inlineStr">
        <is>
          <t>v_d, D_T</t>
        </is>
      </c>
      <c r="D5" s="5" t="inlineStr">
        <is>
          <t>to do</t>
        </is>
      </c>
    </row>
    <row r="6">
      <c r="A6" s="5" t="inlineStr">
        <is>
          <t>Three-body O2 attachment rate constants (e.g. Blum, Riegler, Rolandi)</t>
        </is>
      </c>
      <c r="B6" s="5" t="inlineStr">
        <is>
          <t>Ar + O2 with CH4 / CO2 / iC4H10 third bodies</t>
        </is>
      </c>
      <c r="C6" s="5" t="inlineStr">
        <is>
          <t>attachment vs Magboltz</t>
        </is>
      </c>
      <c r="D6" s="5" t="inlineStr">
        <is>
          <t>to do: Magboltz O2 has 3-body attachment; third-body species dependence unclear</t>
        </is>
      </c>
    </row>
    <row r="7">
      <c r="A7" s="5" t="inlineStr">
        <is>
          <t>GORG</t>
        </is>
      </c>
      <c r="B7" s="5" t="inlineStr">
        <is>
          <t>Ar:CH4 92:8 (14.5, 22 psi), Ar:CO2 90:10 (15 psi)</t>
        </is>
      </c>
      <c r="C7" s="5" t="inlineStr">
        <is>
          <t>triple-GEM gain (check of the GEM simulations)</t>
        </is>
      </c>
      <c r="D7" s="5" t="inlineStr">
        <is>
          <t>done with corrections</t>
        </is>
      </c>
    </row>
    <row r="8">
      <c r="A8" s="5" t="inlineStr">
        <is>
          <t>Orthen et al., physics/0302076</t>
        </is>
      </c>
      <c r="B8" s="5" t="inlineStr">
        <is>
          <t>Ar-based triple GEM at several pressures</t>
        </is>
      </c>
      <c r="C8" s="5" t="inlineStr">
        <is>
          <t>gain vs pressure, max gain (discharge limit)</t>
        </is>
      </c>
      <c r="D8" s="5" t="inlineStr">
        <is>
          <t>to do (literature)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2026-10-28T21:12:23Z</dcterms:created>
  <dcterms:modified xsi:type="dcterms:W3CDTF">2026-10-28T21:12:23Z</dcterms:modified>
</cp:coreProperties>
</file>